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Schedules" sheetId="4" state="visible" r:id="rId6"/>
    <sheet name="Balance Sheet" sheetId="5" state="visible" r:id="rId7"/>
    <sheet name="Cash Flow" sheetId="6" state="visible" r:id="rId8"/>
    <sheet name="Ratios" sheetId="7" state="visible" r:id="rId9"/>
    <sheet name="DCF Valuation" sheetId="8" state="visible" r:id="rId10"/>
    <sheet name="Sensitivity" sheetId="9" state="visible" r:id="rId11"/>
    <sheet name="Check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Approx. FY25-FY26 effective rate; see Part I Section 3.1</t>
        </r>
      </text>
    </comment>
    <comment ref="B13" authorId="0">
      <text>
        <r>
          <rPr>
            <sz val="10"/>
            <rFont val="Arial"/>
            <family val="2"/>
          </rPr>
          <t xml:space="preserve">FY26 actual payout ratio, held flat</t>
        </r>
      </text>
    </comment>
    <comment ref="B14" authorId="0">
      <text>
        <r>
          <rPr>
            <sz val="10"/>
            <rFont val="Arial"/>
            <family val="2"/>
          </rPr>
          <t xml:space="preserve">Assumed share of annual capex funded by incremental borrowing; rest funded by equity/internal accruals</t>
        </r>
      </text>
    </comment>
    <comment ref="B15" authorId="0">
      <text>
        <r>
          <rPr>
            <sz val="10"/>
            <rFont val="Arial"/>
            <family val="2"/>
          </rPr>
          <t xml:space="preserve">Auto-computed from FY26 actual ratio; do not hardcode</t>
        </r>
      </text>
    </comment>
    <comment ref="B18" authorId="0">
      <text>
        <r>
          <rPr>
            <sz val="10"/>
            <rFont val="Arial"/>
            <family val="2"/>
          </rPr>
          <t xml:space="preserve">Trading Economics / MacroMicro, early-mid Jul 2026</t>
        </r>
      </text>
    </comment>
    <comment ref="B19" authorId="0">
      <text>
        <r>
          <rPr>
            <sz val="10"/>
            <rFont val="Arial"/>
            <family val="2"/>
          </rPr>
          <t xml:space="preserve">Observed equity beta ~1.02 (TradingView), rounded up given short trading history</t>
        </r>
      </text>
    </comment>
    <comment ref="B20" authorId="0">
      <text>
        <r>
          <rPr>
            <sz val="10"/>
            <rFont val="Arial"/>
            <family val="2"/>
          </rPr>
          <t xml:space="preserve">Mature-market ERP + India country risk premium (Damodaran-style build)</t>
        </r>
      </text>
    </comment>
    <comment ref="B22" authorId="0">
      <text>
        <r>
          <rPr>
            <sz val="10"/>
            <rFont val="Arial"/>
            <family val="2"/>
          </rPr>
          <t xml:space="preserve">Assumed for a CARE/CRISIL investment-grade Indian manufacturing credit</t>
        </r>
      </text>
    </comment>
    <comment ref="B24" authorId="0">
      <text>
        <r>
          <rPr>
            <sz val="10"/>
            <rFont val="Arial"/>
            <family val="2"/>
          </rPr>
          <t xml:space="preserve">Late June 2026 CMP × shares outstanding</t>
        </r>
      </text>
    </comment>
    <comment ref="B29" authorId="0">
      <text>
        <r>
          <rPr>
            <sz val="10"/>
            <rFont val="Arial"/>
            <family val="2"/>
          </rPr>
          <t xml:space="preserve">Long-run nominal terminal growth assumption; see Part II Section 2.3</t>
        </r>
      </text>
    </comment>
    <comment ref="B32" authorId="0">
      <text>
        <r>
          <rPr>
            <sz val="10"/>
            <rFont val="Arial"/>
            <family val="2"/>
          </rPr>
          <t xml:space="preserve">From Balance Sheet FY26 'Investments' line; refine with precise cash schedule per Part II Section 5</t>
        </r>
      </text>
    </comment>
    <comment ref="B34" authorId="0">
      <text>
        <r>
          <rPr>
            <sz val="10"/>
            <rFont val="Arial"/>
            <family val="2"/>
          </rPr>
          <t xml:space="preserve">Derived: FY26 PAT ÷ reported EPS; does NOT reflect future QIP dilution — see Part II Section 5</t>
        </r>
      </text>
    </comment>
    <comment ref="B35" authorId="0">
      <text>
        <r>
          <rPr>
            <sz val="10"/>
            <rFont val="Arial"/>
            <family val="2"/>
          </rPr>
          <t xml:space="preserve">Late June 2026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Part I Section 3.1 (Screener.in consolidated financials)</t>
        </r>
      </text>
    </comment>
    <comment ref="B11" authorId="0">
      <text>
        <r>
          <rPr>
            <sz val="10"/>
            <rFont val="Arial"/>
            <family val="2"/>
          </rPr>
          <t xml:space="preserve">FY24 spike (₹576 Cr) likely non-recurring/IPO-related treasury income — normalized to 0 in forecast (see Part I Section 3.1)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Forecast held flat at FY26 level — a simplification; CWIP would normally taper as the current capacity cycle capitalizes. Flagged for refinement.</t>
        </r>
      </text>
    </comment>
  </commentList>
</comments>
</file>

<file path=xl/sharedStrings.xml><?xml version="1.0" encoding="utf-8"?>
<sst xmlns="http://schemas.openxmlformats.org/spreadsheetml/2006/main" count="252" uniqueCount="176">
  <si>
    <t xml:space="preserve">WAAREE ENERGIES LIMITED — INTEGRATED 3-STATEMENT MODEL &amp; DCF VALUATION</t>
  </si>
  <si>
    <t xml:space="preserve">NSE: WAAREEENER | BSE: 544277 | ISIN: INE377N01017</t>
  </si>
  <si>
    <t xml:space="preserve">Part III of an institutional equity research package. Historicals (FY20-FY26) sourced from company filings via Screener.in (see Part I). Forecast (FY27E-FY31E) driven entirely by editable assumptions on the Assumptions tab.</t>
  </si>
  <si>
    <t xml:space="preserve">How this model is built</t>
  </si>
  <si>
    <t xml:space="preserve">Color legend:</t>
  </si>
  <si>
    <t xml:space="preserve">  Blue text</t>
  </si>
  <si>
    <t xml:space="preserve">Hardcoded input / historical actual — editable</t>
  </si>
  <si>
    <t xml:space="preserve">  Black text</t>
  </si>
  <si>
    <t xml:space="preserve">Formula — do not overwrite</t>
  </si>
  <si>
    <t xml:space="preserve">  Green text</t>
  </si>
  <si>
    <t xml:space="preserve">Link to another sheet</t>
  </si>
  <si>
    <t xml:space="preserve">  Yellow fill</t>
  </si>
  <si>
    <t xml:space="preserve">Key assumption cells to flex for scenario analysis</t>
  </si>
  <si>
    <t xml:space="preserve">Tab</t>
  </si>
  <si>
    <t xml:space="preserve">Contents</t>
  </si>
  <si>
    <t xml:space="preserve">Assumptions</t>
  </si>
  <si>
    <t xml:space="preserve">All forecast drivers (growth, margins, capex, WC, WACC inputs) — edit here to run scenarios</t>
  </si>
  <si>
    <t xml:space="preserve">Income Statement</t>
  </si>
  <si>
    <t xml:space="preserve">FY20-FY26 actuals + FY27E-FY31E forecast P&amp;L</t>
  </si>
  <si>
    <t xml:space="preserve">Balance Sheet</t>
  </si>
  <si>
    <t xml:space="preserve">FY20-FY26 actuals + FY27E-FY31E forecast BS, with a balance check</t>
  </si>
  <si>
    <t xml:space="preserve">Cash Flow</t>
  </si>
  <si>
    <t xml:space="preserve">FY20-FY26 actuals + FY27E-FY31E forecast CFO/CFI/CFF and FCFF</t>
  </si>
  <si>
    <t xml:space="preserve">Schedules</t>
  </si>
  <si>
    <t xml:space="preserve">Capex/Depreciation roll-forward and Debt roll-forward supporting the 3 statements</t>
  </si>
  <si>
    <t xml:space="preserve">Ratios</t>
  </si>
  <si>
    <t xml:space="preserve">Profitability, leverage, efficiency ratios recomputed from the model for all 12 years</t>
  </si>
  <si>
    <t xml:space="preserve">DCF Valuation</t>
  </si>
  <si>
    <t xml:space="preserve">WACC build, FCFF discounting, terminal value, intrinsic value per share</t>
  </si>
  <si>
    <t xml:space="preserve">Sensitivity</t>
  </si>
  <si>
    <t xml:space="preserve">Intrinsic value per share across a WACC x terminal-growth grid (live formulas)</t>
  </si>
  <si>
    <t xml:space="preserve">Checks</t>
  </si>
  <si>
    <t xml:space="preserve">Balance sheet integrity and other error checks — must show zero/TRUE before use</t>
  </si>
  <si>
    <t xml:space="preserve">ASSUMPTIONS — Forecast Drivers (edit blue cells to run scenarios)</t>
  </si>
  <si>
    <t xml:space="preserve">Forecast Driver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</si>
  <si>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</si>
  <si>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</si>
  <si>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</si>
  <si>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</si>
  <si>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</si>
  <si>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Revenue growth % YoY</t>
  </si>
  <si>
    <t xml:space="preserve">EBITDA margin %</t>
  </si>
  <si>
    <t xml:space="preserve">D&amp;A (% of revenue)</t>
  </si>
  <si>
    <t xml:space="preserve">Capex (% of revenue)</t>
  </si>
  <si>
    <t xml:space="preserve">Increase in Net Working Capital (% of Δ Revenue)</t>
  </si>
  <si>
    <t xml:space="preserve">Source/rationale for the five rows above: Part II Section 2.2 (growth fades from FY27's capacity-ramp-driven 35% toward a 12% terminal-adjacent rate; margin expands as cell backward-integration reduces ALMM List-II cost pass-through; capex intensity tapers as the FY26 acquisition/cell-capex cycle normalizes; NWC intensity stays elevated vs. FY25's 35-day cycle, only partially normalizing from FY26's 90-day stress level).</t>
  </si>
  <si>
    <t xml:space="preserve">Single-value assumptions</t>
  </si>
  <si>
    <t xml:space="preserve">Tax rate (effective)</t>
  </si>
  <si>
    <t xml:space="preserve">Dividend payout ratio (% of net profit)</t>
  </si>
  <si>
    <t xml:space="preserve">Debt-financed capex (%)</t>
  </si>
  <si>
    <t xml:space="preserve">Other Liabilities as % of Revenue (forecast)</t>
  </si>
  <si>
    <t xml:space="preserve">WACC Build-Up</t>
  </si>
  <si>
    <t xml:space="preserve">Risk-free rate (India 10Y G-Sec, Jul-2026)</t>
  </si>
  <si>
    <t xml:space="preserve">Equity beta (levered)</t>
  </si>
  <si>
    <t xml:space="preserve">Equity Risk Premium — India</t>
  </si>
  <si>
    <t xml:space="preserve">Cost of Equity (Ke = Rf + β × ERP)</t>
  </si>
  <si>
    <t xml:space="preserve">Pre-tax cost of debt (Kd)</t>
  </si>
  <si>
    <t xml:space="preserve">Post-tax cost of debt</t>
  </si>
  <si>
    <t xml:space="preserve">Market Capitalization (₹ Cr)</t>
  </si>
  <si>
    <t xml:space="preserve">Total Debt (₹ Cr, latest)</t>
  </si>
  <si>
    <t xml:space="preserve">Weight of Equity (E/V, market value)</t>
  </si>
  <si>
    <t xml:space="preserve">Weight of Debt (D/V, market value)</t>
  </si>
  <si>
    <t xml:space="preserve">WACC</t>
  </si>
  <si>
    <t xml:space="preserve">Terminal growth rate (g)</t>
  </si>
  <si>
    <t xml:space="preserve">DCF Supporting Inputs</t>
  </si>
  <si>
    <t xml:space="preserve">Cash &amp; Investments proxy (₹ Cr)</t>
  </si>
  <si>
    <t xml:space="preserve">Net Debt (₹ Cr)</t>
  </si>
  <si>
    <t xml:space="preserve">Diluted shares outstanding (Cr)</t>
  </si>
  <si>
    <t xml:space="preserve">Current Market Price, CMP (₹/share)</t>
  </si>
  <si>
    <t xml:space="preserve">INCOME STATEMENT — FY20-FY26 Actual, FY27E-FY31E Forecast</t>
  </si>
  <si>
    <t xml:space="preserve">₹ Crore, Consolidated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</si>
  <si>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</si>
  <si>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</si>
  <si>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</si>
  <si>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</si>
  <si>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</si>
  <si>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</si>
  <si>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</si>
  <si>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Revenue</t>
  </si>
  <si>
    <t xml:space="preserve">  Revenue growth % YoY</t>
  </si>
  <si>
    <t xml:space="preserve">EBITDA (Operating Profit)</t>
  </si>
  <si>
    <t xml:space="preserve">  EBITDA margin %</t>
  </si>
  <si>
    <t xml:space="preserve">Less: Depreciation &amp; Amortization</t>
  </si>
  <si>
    <t xml:space="preserve">EBIT</t>
  </si>
  <si>
    <t xml:space="preserve">Add: Other Income</t>
  </si>
  <si>
    <t xml:space="preserve">Less: Interest Expense</t>
  </si>
  <si>
    <t xml:space="preserve">Profit Before Tax (PBT)</t>
  </si>
  <si>
    <t xml:space="preserve">  Effective tax rate %</t>
  </si>
  <si>
    <t xml:space="preserve">Less: Tax</t>
  </si>
  <si>
    <t xml:space="preserve">Net Profit (PAT)</t>
  </si>
  <si>
    <t xml:space="preserve">  Net Profit Margin %</t>
  </si>
  <si>
    <t xml:space="preserve">EPS (₹)</t>
  </si>
  <si>
    <t xml:space="preserve">Note: forecast (blue-free, black formula) cells recalculate automatically from the Assumptions tab. Historical (blue) cells are hardcoded actuals from Part I / Screener.in and should not be overwritten.</t>
  </si>
  <si>
    <t xml:space="preserve">SUPPORTING SCHEDULES — Capex/Depreciation and Debt Roll-Forward (Forecast Only)</t>
  </si>
  <si>
    <t xml:space="preserve">₹ Crore</t>
  </si>
  <si>
    <t xml:space="preserve">Capex &amp; Depreciation Roll-Forward</t>
  </si>
  <si>
    <t xml:space="preserve">Opening Net Fixed Assets</t>
  </si>
  <si>
    <t xml:space="preserve">Add: Capex</t>
  </si>
  <si>
    <t xml:space="preserve">Less: Depreciation</t>
  </si>
  <si>
    <t xml:space="preserve">Closing Net Fixed Assets</t>
  </si>
  <si>
    <t xml:space="preserve">Debt Roll-Forward</t>
  </si>
  <si>
    <t xml:space="preserve">Opening Debt</t>
  </si>
  <si>
    <t xml:space="preserve">Add: Drawdowns (debt-financed capex)</t>
  </si>
  <si>
    <t xml:space="preserve">Less: Repayments</t>
  </si>
  <si>
    <t xml:space="preserve">Closing Debt</t>
  </si>
  <si>
    <t xml:space="preserve">Average Debt (for interest calc)</t>
  </si>
  <si>
    <t xml:space="preserve">Interest Expense</t>
  </si>
  <si>
    <t xml:space="preserve">Depreciation and Capex are modeled as % of revenue (Assumptions rows 6-7) rather than an asset-class-level schedule, consistent with Part II's methodology. Debt drawdowns assume a fixed % of capex is debt-funded (Assumptions row 14); repayments are assumed nil over the explicit forecast window — a simplification flagged for refinement against Waaree's actual debt maturity profile.</t>
  </si>
  <si>
    <t xml:space="preserve">BALANCE SHEET — FY20-FY26 Actual, FY27E-FY31E Forecast</t>
  </si>
  <si>
    <t xml:space="preserve">Liabilities</t>
  </si>
  <si>
    <t xml:space="preserve">Equity Share Capital</t>
  </si>
  <si>
    <t xml:space="preserve">Reserves &amp; Surplus</t>
  </si>
  <si>
    <t xml:space="preserve">Total Equity</t>
  </si>
  <si>
    <t xml:space="preserve">Total Borrowings</t>
  </si>
  <si>
    <t xml:space="preserve">Other Liabilities</t>
  </si>
  <si>
    <t xml:space="preserve">Total Liabilities</t>
  </si>
  <si>
    <t xml:space="preserve">Assets</t>
  </si>
  <si>
    <t xml:space="preserve">Net Fixed Assets</t>
  </si>
  <si>
    <t xml:space="preserve">Capital Work-in-Progress</t>
  </si>
  <si>
    <t xml:space="preserve">Investments</t>
  </si>
  <si>
    <t xml:space="preserve">Other Assets (working-capital plug)</t>
  </si>
  <si>
    <t xml:space="preserve">Forecast 'Other Assets' is solved as the balancing plug (Total Liabilities less Fixed Assets, CWIP, and Investments) rather than built bottom-up from a receivables/inventory/payables schedule — standard simplification when a full working-capital days schedule isn't separately modeled. See Checks tab for the balance verification this produces, and Part II Section 5 for the flagged refinement.</t>
  </si>
  <si>
    <t xml:space="preserve">Total Assets</t>
  </si>
  <si>
    <t xml:space="preserve">Balance Check (Total Assets − Total Liabilities)</t>
  </si>
  <si>
    <t xml:space="preserve">CASH FLOW STATEMENT — FY20-FY26 Actual, FY27E-FY31E Forecast</t>
  </si>
  <si>
    <t xml:space="preserve">Δ Net Working Capital (forecast only)</t>
  </si>
  <si>
    <t xml:space="preserve">n/a</t>
  </si>
  <si>
    <t xml:space="preserve">Cash from Operating Activities (CFO)</t>
  </si>
  <si>
    <t xml:space="preserve">Cash from Investing Activities (CFI)</t>
  </si>
  <si>
    <t xml:space="preserve">Cash from Financing Activities (CFF)</t>
  </si>
  <si>
    <t xml:space="preserve">Net Change in Cash</t>
  </si>
  <si>
    <t xml:space="preserve">Free Cash Flow (CFO − Capex)</t>
  </si>
  <si>
    <t xml:space="preserve">Unlevered Free Cash Flow to Firm (FCFF) — DCF Input</t>
  </si>
  <si>
    <t xml:space="preserve">NOPAT = EBIT × (1 − tax rate)</t>
  </si>
  <si>
    <t xml:space="preserve">Add: D&amp;A</t>
  </si>
  <si>
    <t xml:space="preserve">Less: Capex</t>
  </si>
  <si>
    <t xml:space="preserve">Less: Δ Net Working Capital</t>
  </si>
  <si>
    <t xml:space="preserve">FCFF</t>
  </si>
  <si>
    <t xml:space="preserve">RATIO ANALYSIS — Recomputed From The Model (All 12 Years)</t>
  </si>
  <si>
    <t xml:space="preserve">Revenue Growth % YoY</t>
  </si>
  <si>
    <t xml:space="preserve">EBITDA Margin %</t>
  </si>
  <si>
    <t xml:space="preserve">Net Profit Margin %</t>
  </si>
  <si>
    <t xml:space="preserve">Return on Equity % (avg equity)</t>
  </si>
  <si>
    <t xml:space="preserve">Return on Capital Employed % (avg CE=Equity+Debt)</t>
  </si>
  <si>
    <t xml:space="preserve">Debt / Equity (x)</t>
  </si>
  <si>
    <t xml:space="preserve">Interest Coverage (EBIT/Interest, x)</t>
  </si>
  <si>
    <t xml:space="preserve">Asset Turnover (Revenue/Total Assets, x)</t>
  </si>
  <si>
    <t xml:space="preserve">All ratios above are LIVE formulas referencing the Income Statement and Balance Sheet tabs — they will recalculate automatically if any Assumptions cell is changed, unlike the static ratio table in Part I (which was computed once from historical actuals only).</t>
  </si>
  <si>
    <t xml:space="preserve">DCF VALUATION — Live, Driven by Assumptions Tab</t>
  </si>
  <si>
    <t xml:space="preserve">Discount Period (n)</t>
  </si>
  <si>
    <t xml:space="preserve">Discount Factor @ WACC</t>
  </si>
  <si>
    <t xml:space="preserve">PV of FCFF</t>
  </si>
  <si>
    <t xml:space="preserve">Sum of PV of Explicit FCFF (FY27E-FY31E)</t>
  </si>
  <si>
    <t xml:space="preserve">Terminal Value (Gordon Growth)</t>
  </si>
  <si>
    <t xml:space="preserve">PV of Terminal Value</t>
  </si>
  <si>
    <t xml:space="preserve">Terminal Value as % of Enterprise Value</t>
  </si>
  <si>
    <t xml:space="preserve">Enterprise Value</t>
  </si>
  <si>
    <t xml:space="preserve">Less: Net Debt</t>
  </si>
  <si>
    <t xml:space="preserve">Equity Value</t>
  </si>
  <si>
    <t xml:space="preserve">Diluted Shares Outstanding (Cr)</t>
  </si>
  <si>
    <t xml:space="preserve">Intrinsic Value per Share (₹)</t>
  </si>
  <si>
    <t xml:space="preserve">CMP (₹)</t>
  </si>
  <si>
    <t xml:space="preserve">Upside / (Downside) to CMP</t>
  </si>
  <si>
    <t xml:space="preserve">This entire sheet recalculates live off the Assumptions tab (WACC build, terminal growth, net debt, shares outstanding) and the Cash Flow tab's FCFF (which itself flows from Income Statement/Schedules forecasts). Change any Assumptions cell to re-run the valuation instantly — this is the primary advantage of a model over the static Part II Word document.</t>
  </si>
  <si>
    <t xml:space="preserve">SENSITIVITY — Intrinsic Value per Share (₹) — Live Grid, WACC × Terminal Growth</t>
  </si>
  <si>
    <t xml:space="preserve">WACC (rows) vs. Terminal Growth g (columns)</t>
  </si>
  <si>
    <t xml:space="preserve">WACC ↓</t>
  </si>
  <si>
    <t xml:space="preserve">g →</t>
  </si>
  <si>
    <t xml:space="preserve">Every cell is a live formula (not a pasted value): it recomputes PV of FY27E-FY31E FCFF at that row's WACC, adds a Gordon Growth terminal value at that column's g, subtracts net debt, and divides by shares — all pulled directly from the Cash Flow and Assumptions tabs. Compare to the base case on the DCF Valuation tab (WACC≈13.8%, g=5.0%) which should reconcile closely to the row-13.8%/g-5.0% cell here (interpolated).</t>
  </si>
  <si>
    <t xml:space="preserve">CHECKS — Model Integrity</t>
  </si>
  <si>
    <t xml:space="preserve">Check</t>
  </si>
  <si>
    <t xml:space="preserve">Balance Sheet balances? (Assets − Liabilities = 0, ±1 Cr tolerance for source rounding)</t>
  </si>
  <si>
    <t xml:space="preserve">EBITDA margin within 0-100%?</t>
  </si>
  <si>
    <t xml:space="preserve">WACC &gt; Terminal growth g? (required for TV formula)</t>
  </si>
  <si>
    <t xml:space="preserve">Net Profit ties: PBT - Tax = Net Profit?</t>
  </si>
  <si>
    <t xml:space="preserve">All rows should read 'OK' across every year before this model is used for decision-making. If any cell reads 'CHECK', trace the referenced formula on the named tab before trusting downstream valuation output.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</si>
</sst>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.00\x"/>
    <numFmt numFmtId="167" formatCode="#,##0;\(#,##0\);\-"/>
    <numFmt numFmtId="168" formatCode="#,##0.00;\(#,##0.00\);\-"/>
    <numFmt numFmtId="169" formatCode="\₹#,##0"/>
    <numFmt numFmtId="170" formatCode="0"/>
    <numFmt numFmtId="171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2A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D9D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</cols>
  <sheetData>
    <row r="2" customFormat="false" ht="25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A4" s="2" t="s">
        <v>1</v>
      </c>
    </row>
    <row r="6" customFormat="false" ht="30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customFormat="false" ht="15" hidden="false" customHeight="false" outlineLevel="0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6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6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5" hidden="false" customHeight="false" outlineLevel="0" collapsed="false">
      <c r="A11" s="4" t="s">
        <v>5</v>
      </c>
      <c r="B11" s="5" t="s">
        <v>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4" t="s">
        <v>7</v>
      </c>
      <c r="B12" s="5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4" t="s">
        <v>9</v>
      </c>
      <c r="B13" s="5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4" t="s">
        <v>11</v>
      </c>
      <c r="B14" s="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6" t="s">
        <v>13</v>
      </c>
      <c r="B16" s="7" t="s">
        <v>14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4" t="s">
        <v>15</v>
      </c>
      <c r="B17" s="5" t="s">
        <v>16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4" t="s">
        <v>17</v>
      </c>
      <c r="B18" s="5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4" t="s">
        <v>19</v>
      </c>
      <c r="B19" s="5" t="s">
        <v>20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4" t="s">
        <v>21</v>
      </c>
      <c r="B20" s="5" t="s">
        <v>22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4" t="s">
        <v>23</v>
      </c>
      <c r="B21" s="5" t="s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4" t="s">
        <v>25</v>
      </c>
      <c r="B22" s="5" t="s">
        <v>26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A23" s="4" t="s">
        <v>27</v>
      </c>
      <c r="B23" s="5" t="s">
        <v>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4" t="s">
        <v>29</v>
      </c>
      <c r="B24" s="5" t="s">
        <v>30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4" t="s">
        <v>31</v>
      </c>
      <c r="B25" s="5" t="s">
        <v>32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</sheetData>
  <mergeCells count="20">
    <mergeCell ref="A2:M2"/>
    <mergeCell ref="A6:M6"/>
    <mergeCell ref="B8:M8"/>
    <mergeCell ref="B9:M9"/>
    <mergeCell ref="B10:M10"/>
    <mergeCell ref="B11:M11"/>
    <mergeCell ref="B12:M12"/>
    <mergeCell ref="B13:M13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3:M23"/>
    <mergeCell ref="B24:M24"/>
    <mergeCell ref="B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8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</row>
    <row r="4" customFormat="false" ht="15" hidden="false" customHeight="false" outlineLevel="0" collapsed="false">
      <c r="A4" s="4" t="s">
        <v>40</v>
      </c>
      <c r="B4" s="10" t="n">
        <v>0.35</v>
      </c>
      <c r="C4" s="10" t="n">
        <v>0.25</v>
      </c>
      <c r="D4" s="10" t="n">
        <v>0.2</v>
      </c>
      <c r="E4" s="10" t="n">
        <v>0.15</v>
      </c>
      <c r="F4" s="10" t="n">
        <v>0.12</v>
      </c>
    </row>
    <row r="5" customFormat="false" ht="15" hidden="false" customHeight="false" outlineLevel="0" collapsed="false">
      <c r="A5" s="4" t="s">
        <v>41</v>
      </c>
      <c r="B5" s="10" t="n">
        <v>0.2</v>
      </c>
      <c r="C5" s="10" t="n">
        <v>0.205</v>
      </c>
      <c r="D5" s="10" t="n">
        <v>0.21</v>
      </c>
      <c r="E5" s="10" t="n">
        <v>0.215</v>
      </c>
      <c r="F5" s="10" t="n">
        <v>0.22</v>
      </c>
    </row>
    <row r="6" customFormat="false" ht="15" hidden="false" customHeight="false" outlineLevel="0" collapsed="false">
      <c r="A6" s="4" t="s">
        <v>42</v>
      </c>
      <c r="B6" s="10" t="n">
        <v>0.045</v>
      </c>
      <c r="C6" s="10" t="n">
        <v>0.045</v>
      </c>
      <c r="D6" s="10" t="n">
        <v>0.043</v>
      </c>
      <c r="E6" s="10" t="n">
        <v>0.04</v>
      </c>
      <c r="F6" s="10" t="n">
        <v>0.038</v>
      </c>
    </row>
    <row r="7" customFormat="false" ht="15" hidden="false" customHeight="false" outlineLevel="0" collapsed="false">
      <c r="A7" s="4" t="s">
        <v>43</v>
      </c>
      <c r="B7" s="10" t="n">
        <v>0.08</v>
      </c>
      <c r="C7" s="10" t="n">
        <v>0.07</v>
      </c>
      <c r="D7" s="10" t="n">
        <v>0.06</v>
      </c>
      <c r="E7" s="10" t="n">
        <v>0.05</v>
      </c>
      <c r="F7" s="10" t="n">
        <v>0.045</v>
      </c>
    </row>
    <row r="8" customFormat="false" ht="15" hidden="false" customHeight="false" outlineLevel="0" collapsed="false">
      <c r="A8" s="4" t="s">
        <v>44</v>
      </c>
      <c r="B8" s="10" t="n">
        <v>0.15</v>
      </c>
      <c r="C8" s="10" t="n">
        <v>0.14</v>
      </c>
      <c r="D8" s="10" t="n">
        <v>0.12</v>
      </c>
      <c r="E8" s="10" t="n">
        <v>0.1</v>
      </c>
      <c r="F8" s="10" t="n">
        <v>0.1</v>
      </c>
    </row>
    <row r="9" customFormat="false" ht="22.35" hidden="false" customHeight="true" outlineLevel="0" collapsed="false">
      <c r="A9" s="11" t="s">
        <v>45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1" customFormat="false" ht="15" hidden="false" customHeight="false" outlineLevel="0" collapsed="false">
      <c r="A11" s="12" t="s">
        <v>46</v>
      </c>
      <c r="B11" s="12"/>
      <c r="C11" s="12"/>
    </row>
    <row r="12" customFormat="false" ht="15" hidden="false" customHeight="false" outlineLevel="0" collapsed="false">
      <c r="A12" s="4" t="s">
        <v>47</v>
      </c>
      <c r="B12" s="13" t="n">
        <v>0.25</v>
      </c>
    </row>
    <row r="13" customFormat="false" ht="15" hidden="false" customHeight="false" outlineLevel="0" collapsed="false">
      <c r="A13" s="4" t="s">
        <v>48</v>
      </c>
      <c r="B13" s="13" t="n">
        <v>0.02</v>
      </c>
    </row>
    <row r="14" customFormat="false" ht="15" hidden="false" customHeight="false" outlineLevel="0" collapsed="false">
      <c r="A14" s="4" t="s">
        <v>49</v>
      </c>
      <c r="B14" s="13" t="n">
        <v>0.2</v>
      </c>
    </row>
    <row r="15" customFormat="false" ht="15" hidden="false" customHeight="false" outlineLevel="0" collapsed="false">
      <c r="A15" s="4" t="s">
        <v>50</v>
      </c>
      <c r="B15" s="14" t="n">
        <f aca="false">'Balance Sheet'!H9/'Income Statement'!H5</f>
        <v>0.469721520895354</v>
      </c>
    </row>
    <row r="17" customFormat="false" ht="15" hidden="false" customHeight="false" outlineLevel="0" collapsed="false">
      <c r="A17" s="12" t="s">
        <v>51</v>
      </c>
      <c r="B17" s="12"/>
      <c r="C17" s="12"/>
    </row>
    <row r="18" customFormat="false" ht="15" hidden="false" customHeight="false" outlineLevel="0" collapsed="false">
      <c r="A18" s="4" t="s">
        <v>52</v>
      </c>
      <c r="B18" s="13" t="n">
        <v>0.067</v>
      </c>
    </row>
    <row r="19" customFormat="false" ht="15" hidden="false" customHeight="false" outlineLevel="0" collapsed="false">
      <c r="A19" s="4" t="s">
        <v>53</v>
      </c>
      <c r="B19" s="15" t="n">
        <v>1.05</v>
      </c>
    </row>
    <row r="20" customFormat="false" ht="15" hidden="false" customHeight="false" outlineLevel="0" collapsed="false">
      <c r="A20" s="4" t="s">
        <v>54</v>
      </c>
      <c r="B20" s="13" t="n">
        <v>0.07</v>
      </c>
    </row>
    <row r="21" customFormat="false" ht="15" hidden="false" customHeight="false" outlineLevel="0" collapsed="false">
      <c r="A21" s="4" t="s">
        <v>55</v>
      </c>
      <c r="B21" s="16" t="n">
        <f aca="false">B18+B19*B20</f>
        <v>0.1405</v>
      </c>
    </row>
    <row r="22" customFormat="false" ht="15" hidden="false" customHeight="false" outlineLevel="0" collapsed="false">
      <c r="A22" s="4" t="s">
        <v>56</v>
      </c>
      <c r="B22" s="13" t="n">
        <v>0.085</v>
      </c>
    </row>
    <row r="23" customFormat="false" ht="15" hidden="false" customHeight="false" outlineLevel="0" collapsed="false">
      <c r="A23" s="4" t="s">
        <v>57</v>
      </c>
      <c r="B23" s="16" t="n">
        <f aca="false">B22*(1-B12)</f>
        <v>0.06375</v>
      </c>
    </row>
    <row r="24" customFormat="false" ht="15" hidden="false" customHeight="false" outlineLevel="0" collapsed="false">
      <c r="A24" s="4" t="s">
        <v>58</v>
      </c>
      <c r="B24" s="17" t="n">
        <v>83000</v>
      </c>
    </row>
    <row r="25" customFormat="false" ht="15" hidden="false" customHeight="false" outlineLevel="0" collapsed="false">
      <c r="A25" s="4" t="s">
        <v>59</v>
      </c>
      <c r="B25" s="18" t="n">
        <f aca="false">'Balance Sheet'!H8</f>
        <v>3213</v>
      </c>
    </row>
    <row r="26" customFormat="false" ht="15" hidden="false" customHeight="false" outlineLevel="0" collapsed="false">
      <c r="A26" s="4" t="s">
        <v>60</v>
      </c>
      <c r="B26" s="16" t="n">
        <f aca="false">B24/(B24+B25)</f>
        <v>0.962731838585828</v>
      </c>
    </row>
    <row r="27" customFormat="false" ht="15" hidden="false" customHeight="false" outlineLevel="0" collapsed="false">
      <c r="A27" s="4" t="s">
        <v>61</v>
      </c>
      <c r="B27" s="16" t="n">
        <f aca="false">B25/(B24+B25)</f>
        <v>0.0372681614141719</v>
      </c>
    </row>
    <row r="28" customFormat="false" ht="15" hidden="false" customHeight="false" outlineLevel="0" collapsed="false">
      <c r="A28" s="6" t="s">
        <v>62</v>
      </c>
      <c r="B28" s="19" t="n">
        <f aca="false">B26*B21+B27*B23</f>
        <v>0.137639668611462</v>
      </c>
    </row>
    <row r="29" customFormat="false" ht="15" hidden="false" customHeight="false" outlineLevel="0" collapsed="false">
      <c r="A29" s="4" t="s">
        <v>63</v>
      </c>
      <c r="B29" s="13" t="n">
        <v>0.05</v>
      </c>
    </row>
    <row r="31" customFormat="false" ht="15" hidden="false" customHeight="false" outlineLevel="0" collapsed="false">
      <c r="A31" s="12" t="s">
        <v>64</v>
      </c>
      <c r="B31" s="12"/>
      <c r="C31" s="12"/>
    </row>
    <row r="32" customFormat="false" ht="15" hidden="false" customHeight="false" outlineLevel="0" collapsed="false">
      <c r="A32" s="4" t="s">
        <v>65</v>
      </c>
      <c r="B32" s="17" t="n">
        <v>953</v>
      </c>
    </row>
    <row r="33" customFormat="false" ht="15" hidden="false" customHeight="false" outlineLevel="0" collapsed="false">
      <c r="A33" s="4" t="s">
        <v>66</v>
      </c>
      <c r="B33" s="18" t="n">
        <f aca="false">B25-B32</f>
        <v>2260</v>
      </c>
    </row>
    <row r="34" customFormat="false" ht="15" hidden="false" customHeight="false" outlineLevel="0" collapsed="false">
      <c r="A34" s="4" t="s">
        <v>67</v>
      </c>
      <c r="B34" s="20" t="n">
        <v>30.1</v>
      </c>
    </row>
    <row r="35" customFormat="false" ht="15" hidden="false" customHeight="false" outlineLevel="0" collapsed="false">
      <c r="A35" s="4" t="s">
        <v>68</v>
      </c>
      <c r="B35" s="21" t="n">
        <v>2886</v>
      </c>
    </row>
  </sheetData>
  <mergeCells count="5">
    <mergeCell ref="A1:M1"/>
    <mergeCell ref="A9:M9"/>
    <mergeCell ref="A11:C11"/>
    <mergeCell ref="A17:C17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8" hidden="false" customHeight="true" outlineLevel="0" collapsed="false">
      <c r="A3" s="8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35</v>
      </c>
      <c r="J3" s="22" t="s">
        <v>36</v>
      </c>
      <c r="K3" s="22" t="s">
        <v>37</v>
      </c>
      <c r="L3" s="22" t="s">
        <v>38</v>
      </c>
      <c r="M3" s="22" t="s">
        <v>39</v>
      </c>
    </row>
    <row r="5" customFormat="false" ht="15" hidden="false" customHeight="false" outlineLevel="0" collapsed="false">
      <c r="A5" s="6" t="s">
        <v>78</v>
      </c>
      <c r="B5" s="23" t="n">
        <v>1996</v>
      </c>
      <c r="C5" s="23" t="n">
        <v>1953</v>
      </c>
      <c r="D5" s="23" t="n">
        <v>2854</v>
      </c>
      <c r="E5" s="23" t="n">
        <v>6751</v>
      </c>
      <c r="F5" s="23" t="n">
        <v>11398</v>
      </c>
      <c r="G5" s="23" t="n">
        <v>14444</v>
      </c>
      <c r="H5" s="23" t="n">
        <v>26537</v>
      </c>
      <c r="I5" s="24" t="n">
        <f aca="false">H5*(1+Assumptions!B4)</f>
        <v>35824.95</v>
      </c>
      <c r="J5" s="24" t="n">
        <f aca="false">I5*(1+Assumptions!C4)</f>
        <v>44781.1875</v>
      </c>
      <c r="K5" s="24" t="n">
        <f aca="false">J5*(1+Assumptions!D4)</f>
        <v>53737.425</v>
      </c>
      <c r="L5" s="24" t="n">
        <f aca="false">K5*(1+Assumptions!E4)</f>
        <v>61798.03875</v>
      </c>
      <c r="M5" s="24" t="n">
        <f aca="false">L5*(1+Assumptions!F4)</f>
        <v>69213.8034</v>
      </c>
    </row>
    <row r="6" customFormat="false" ht="15" hidden="false" customHeight="false" outlineLevel="0" collapsed="false">
      <c r="A6" s="4" t="s">
        <v>79</v>
      </c>
      <c r="C6" s="25" t="n">
        <f aca="false">C5/B5-1</f>
        <v>-0.0215430861723447</v>
      </c>
      <c r="D6" s="25" t="n">
        <f aca="false">D5/C5-1</f>
        <v>0.461341525857655</v>
      </c>
      <c r="E6" s="25" t="n">
        <f aca="false">E5/D5-1</f>
        <v>1.36545199719692</v>
      </c>
      <c r="F6" s="25" t="n">
        <f aca="false">F5/E5-1</f>
        <v>0.688342467782551</v>
      </c>
      <c r="G6" s="25" t="n">
        <f aca="false">G5/F5-1</f>
        <v>0.267239866643271</v>
      </c>
      <c r="H6" s="25" t="n">
        <f aca="false">H5/G5-1</f>
        <v>0.837233453337026</v>
      </c>
      <c r="I6" s="25" t="n">
        <f aca="false">I5/H5-1</f>
        <v>0.35</v>
      </c>
      <c r="J6" s="25" t="n">
        <f aca="false">J5/I5-1</f>
        <v>0.25</v>
      </c>
      <c r="K6" s="25" t="n">
        <f aca="false">K5/J5-1</f>
        <v>0.2</v>
      </c>
      <c r="L6" s="25" t="n">
        <f aca="false">L5/K5-1</f>
        <v>0.15</v>
      </c>
      <c r="M6" s="25" t="n">
        <f aca="false">M5/L5-1</f>
        <v>0.12</v>
      </c>
    </row>
    <row r="7" customFormat="false" ht="15" hidden="false" customHeight="false" outlineLevel="0" collapsed="false">
      <c r="A7" s="6" t="s">
        <v>80</v>
      </c>
      <c r="B7" s="23" t="n">
        <v>93</v>
      </c>
      <c r="C7" s="23" t="n">
        <v>85</v>
      </c>
      <c r="D7" s="23" t="n">
        <v>106</v>
      </c>
      <c r="E7" s="23" t="n">
        <v>836</v>
      </c>
      <c r="F7" s="23" t="n">
        <v>1574</v>
      </c>
      <c r="G7" s="23" t="n">
        <v>2722</v>
      </c>
      <c r="H7" s="23" t="n">
        <v>5909</v>
      </c>
      <c r="I7" s="24" t="n">
        <f aca="false">I5*Assumptions!B5</f>
        <v>7164.99</v>
      </c>
      <c r="J7" s="24" t="n">
        <f aca="false">J5*Assumptions!C5</f>
        <v>9180.1434375</v>
      </c>
      <c r="K7" s="24" t="n">
        <f aca="false">K5*Assumptions!D5</f>
        <v>11284.85925</v>
      </c>
      <c r="L7" s="24" t="n">
        <f aca="false">L5*Assumptions!E5</f>
        <v>13286.57833125</v>
      </c>
      <c r="M7" s="24" t="n">
        <f aca="false">M5*Assumptions!F5</f>
        <v>15227.036748</v>
      </c>
    </row>
    <row r="8" customFormat="false" ht="15" hidden="false" customHeight="false" outlineLevel="0" collapsed="false">
      <c r="A8" s="4" t="s">
        <v>81</v>
      </c>
      <c r="B8" s="25" t="n">
        <f aca="false">B7/B5</f>
        <v>0.0465931863727455</v>
      </c>
      <c r="C8" s="25" t="n">
        <f aca="false">C7/C5</f>
        <v>0.0435227854582693</v>
      </c>
      <c r="D8" s="25" t="n">
        <f aca="false">D7/D5</f>
        <v>0.0371408549404345</v>
      </c>
      <c r="E8" s="25" t="n">
        <f aca="false">E7/E5</f>
        <v>0.123833506147237</v>
      </c>
      <c r="F8" s="25" t="n">
        <f aca="false">F7/F5</f>
        <v>0.138094402526759</v>
      </c>
      <c r="G8" s="25" t="n">
        <f aca="false">G7/G5</f>
        <v>0.188451952367765</v>
      </c>
      <c r="H8" s="25" t="n">
        <f aca="false">H7/H5</f>
        <v>0.222670234012888</v>
      </c>
      <c r="I8" s="25" t="n">
        <f aca="false">I7/I5</f>
        <v>0.2</v>
      </c>
      <c r="J8" s="25" t="n">
        <f aca="false">J7/J5</f>
        <v>0.205</v>
      </c>
      <c r="K8" s="25" t="n">
        <f aca="false">K7/K5</f>
        <v>0.21</v>
      </c>
      <c r="L8" s="25" t="n">
        <f aca="false">L7/L5</f>
        <v>0.215</v>
      </c>
      <c r="M8" s="25" t="n">
        <f aca="false">M7/M5</f>
        <v>0.22</v>
      </c>
    </row>
    <row r="9" customFormat="false" ht="15" hidden="false" customHeight="false" outlineLevel="0" collapsed="false">
      <c r="A9" s="4" t="s">
        <v>82</v>
      </c>
      <c r="B9" s="23" t="n">
        <v>27</v>
      </c>
      <c r="C9" s="23" t="n">
        <v>29</v>
      </c>
      <c r="D9" s="23" t="n">
        <v>43</v>
      </c>
      <c r="E9" s="23" t="n">
        <v>164</v>
      </c>
      <c r="F9" s="23" t="n">
        <v>277</v>
      </c>
      <c r="G9" s="23" t="n">
        <v>402</v>
      </c>
      <c r="H9" s="23" t="n">
        <v>990</v>
      </c>
      <c r="I9" s="24" t="n">
        <f aca="false">Schedules!I7</f>
        <v>1612.12275</v>
      </c>
      <c r="J9" s="24" t="n">
        <f aca="false">Schedules!J7</f>
        <v>2015.1534375</v>
      </c>
      <c r="K9" s="24" t="n">
        <f aca="false">Schedules!K7</f>
        <v>2310.709275</v>
      </c>
      <c r="L9" s="24" t="n">
        <f aca="false">Schedules!L7</f>
        <v>2471.92155</v>
      </c>
      <c r="M9" s="24" t="n">
        <f aca="false">Schedules!M7</f>
        <v>2630.1245292</v>
      </c>
    </row>
    <row r="10" customFormat="false" ht="15" hidden="false" customHeight="false" outlineLevel="0" collapsed="false">
      <c r="A10" s="6" t="s">
        <v>83</v>
      </c>
      <c r="B10" s="26" t="n">
        <f aca="false">B7-B9</f>
        <v>66</v>
      </c>
      <c r="C10" s="26" t="n">
        <f aca="false">C7-C9</f>
        <v>56</v>
      </c>
      <c r="D10" s="26" t="n">
        <f aca="false">D7-D9</f>
        <v>63</v>
      </c>
      <c r="E10" s="26" t="n">
        <f aca="false">E7-E9</f>
        <v>672</v>
      </c>
      <c r="F10" s="26" t="n">
        <f aca="false">F7-F9</f>
        <v>1297</v>
      </c>
      <c r="G10" s="26" t="n">
        <f aca="false">G7-G9</f>
        <v>2320</v>
      </c>
      <c r="H10" s="26" t="n">
        <f aca="false">H7-H9</f>
        <v>4919</v>
      </c>
      <c r="I10" s="26" t="n">
        <f aca="false">I7-I9</f>
        <v>5552.86725</v>
      </c>
      <c r="J10" s="26" t="n">
        <f aca="false">J7-J9</f>
        <v>7164.99</v>
      </c>
      <c r="K10" s="26" t="n">
        <f aca="false">K7-K9</f>
        <v>8974.149975</v>
      </c>
      <c r="L10" s="26" t="n">
        <f aca="false">L7-L9</f>
        <v>10814.65678125</v>
      </c>
      <c r="M10" s="26" t="n">
        <f aca="false">M7-M9</f>
        <v>12596.9122188</v>
      </c>
    </row>
    <row r="11" customFormat="false" ht="15" hidden="false" customHeight="false" outlineLevel="0" collapsed="false">
      <c r="A11" s="4" t="s">
        <v>84</v>
      </c>
      <c r="B11" s="23" t="n">
        <v>25</v>
      </c>
      <c r="C11" s="23" t="n">
        <v>45</v>
      </c>
      <c r="D11" s="23" t="n">
        <v>97</v>
      </c>
      <c r="E11" s="23" t="n">
        <v>88</v>
      </c>
      <c r="F11" s="23" t="n">
        <v>576</v>
      </c>
      <c r="G11" s="23" t="n">
        <v>398</v>
      </c>
      <c r="H11" s="23" t="n">
        <v>413</v>
      </c>
      <c r="I11" s="23" t="n">
        <f aca="false">0</f>
        <v>0</v>
      </c>
      <c r="J11" s="23" t="n">
        <f aca="false">0</f>
        <v>0</v>
      </c>
      <c r="K11" s="23" t="n">
        <f aca="false">0</f>
        <v>0</v>
      </c>
      <c r="L11" s="23" t="n">
        <f aca="false">0</f>
        <v>0</v>
      </c>
      <c r="M11" s="23" t="n">
        <f aca="false">0</f>
        <v>0</v>
      </c>
    </row>
    <row r="12" customFormat="false" ht="15" hidden="false" customHeight="false" outlineLevel="0" collapsed="false">
      <c r="A12" s="4" t="s">
        <v>85</v>
      </c>
      <c r="B12" s="23" t="n">
        <v>34</v>
      </c>
      <c r="C12" s="23" t="n">
        <v>31</v>
      </c>
      <c r="D12" s="23" t="n">
        <v>41</v>
      </c>
      <c r="E12" s="23" t="n">
        <v>82</v>
      </c>
      <c r="F12" s="23" t="n">
        <v>140</v>
      </c>
      <c r="G12" s="23" t="n">
        <v>152</v>
      </c>
      <c r="H12" s="23" t="n">
        <v>280</v>
      </c>
      <c r="I12" s="24" t="n">
        <f aca="false">Schedules!I17</f>
        <v>297.465966</v>
      </c>
      <c r="J12" s="24" t="n">
        <f aca="false">Schedules!J17</f>
        <v>348.4717385625</v>
      </c>
      <c r="K12" s="24" t="n">
        <f aca="false">Schedules!K17</f>
        <v>402.522631875</v>
      </c>
      <c r="L12" s="24" t="n">
        <f aca="false">Schedules!L17</f>
        <v>456.19288509375</v>
      </c>
      <c r="M12" s="24" t="n">
        <f aca="false">Schedules!M17</f>
        <v>508.931331363</v>
      </c>
    </row>
    <row r="13" customFormat="false" ht="15" hidden="false" customHeight="false" outlineLevel="0" collapsed="false">
      <c r="A13" s="6" t="s">
        <v>86</v>
      </c>
      <c r="B13" s="26" t="n">
        <f aca="false">B10+B11-B12</f>
        <v>57</v>
      </c>
      <c r="C13" s="26" t="n">
        <f aca="false">C10+C11-C12</f>
        <v>70</v>
      </c>
      <c r="D13" s="26" t="n">
        <f aca="false">D10+D11-D12</f>
        <v>119</v>
      </c>
      <c r="E13" s="26" t="n">
        <f aca="false">E10+E11-E12</f>
        <v>678</v>
      </c>
      <c r="F13" s="26" t="n">
        <f aca="false">F10+F11-F12</f>
        <v>1733</v>
      </c>
      <c r="G13" s="26" t="n">
        <f aca="false">G10+G11-G12</f>
        <v>2566</v>
      </c>
      <c r="H13" s="26" t="n">
        <f aca="false">H10+H11-H12</f>
        <v>5052</v>
      </c>
      <c r="I13" s="26" t="n">
        <f aca="false">I10+I11-I12</f>
        <v>5255.401284</v>
      </c>
      <c r="J13" s="26" t="n">
        <f aca="false">J10+J11-J12</f>
        <v>6816.5182614375</v>
      </c>
      <c r="K13" s="26" t="n">
        <f aca="false">K10+K11-K12</f>
        <v>8571.627343125</v>
      </c>
      <c r="L13" s="26" t="n">
        <f aca="false">L10+L11-L12</f>
        <v>10358.4638961563</v>
      </c>
      <c r="M13" s="26" t="n">
        <f aca="false">M10+M11-M12</f>
        <v>12087.980887437</v>
      </c>
    </row>
    <row r="14" customFormat="false" ht="15" hidden="false" customHeight="false" outlineLevel="0" collapsed="false">
      <c r="A14" s="4" t="s">
        <v>87</v>
      </c>
      <c r="B14" s="27" t="n">
        <v>0.31</v>
      </c>
      <c r="C14" s="27" t="n">
        <v>0.31</v>
      </c>
      <c r="D14" s="27" t="n">
        <v>0.33</v>
      </c>
      <c r="E14" s="27" t="n">
        <v>0.26</v>
      </c>
      <c r="F14" s="27" t="n">
        <v>0.27</v>
      </c>
      <c r="G14" s="27" t="n">
        <v>0.25</v>
      </c>
      <c r="H14" s="27" t="n">
        <v>0.23</v>
      </c>
      <c r="I14" s="25" t="n">
        <f aca="false">Assumptions!$B$12</f>
        <v>0.25</v>
      </c>
      <c r="J14" s="25" t="n">
        <f aca="false">Assumptions!$B$12</f>
        <v>0.25</v>
      </c>
      <c r="K14" s="25" t="n">
        <f aca="false">Assumptions!$B$12</f>
        <v>0.25</v>
      </c>
      <c r="L14" s="25" t="n">
        <f aca="false">Assumptions!$B$12</f>
        <v>0.25</v>
      </c>
      <c r="M14" s="25" t="n">
        <f aca="false">Assumptions!$B$12</f>
        <v>0.25</v>
      </c>
    </row>
    <row r="15" customFormat="false" ht="15" hidden="false" customHeight="false" outlineLevel="0" collapsed="false">
      <c r="A15" s="4" t="s">
        <v>88</v>
      </c>
      <c r="B15" s="24" t="n">
        <f aca="false">B13*B14</f>
        <v>17.67</v>
      </c>
      <c r="C15" s="24" t="n">
        <f aca="false">C13*C14</f>
        <v>21.7</v>
      </c>
      <c r="D15" s="24" t="n">
        <f aca="false">D13*D14</f>
        <v>39.27</v>
      </c>
      <c r="E15" s="24" t="n">
        <f aca="false">E13*E14</f>
        <v>176.28</v>
      </c>
      <c r="F15" s="24" t="n">
        <f aca="false">F13*F14</f>
        <v>467.91</v>
      </c>
      <c r="G15" s="24" t="n">
        <f aca="false">G13*G14</f>
        <v>641.5</v>
      </c>
      <c r="H15" s="24" t="n">
        <f aca="false">H13*H14</f>
        <v>1161.96</v>
      </c>
      <c r="I15" s="24" t="n">
        <f aca="false">I13*I14</f>
        <v>1313.850321</v>
      </c>
      <c r="J15" s="24" t="n">
        <f aca="false">J13*J14</f>
        <v>1704.12956535938</v>
      </c>
      <c r="K15" s="24" t="n">
        <f aca="false">K13*K14</f>
        <v>2142.90683578125</v>
      </c>
      <c r="L15" s="24" t="n">
        <f aca="false">L13*L14</f>
        <v>2589.61597403906</v>
      </c>
      <c r="M15" s="24" t="n">
        <f aca="false">M13*M14</f>
        <v>3021.99522185925</v>
      </c>
    </row>
    <row r="16" customFormat="false" ht="15" hidden="false" customHeight="false" outlineLevel="0" collapsed="false">
      <c r="A16" s="6" t="s">
        <v>89</v>
      </c>
      <c r="B16" s="28" t="n">
        <f aca="false">B13-B15</f>
        <v>39.33</v>
      </c>
      <c r="C16" s="28" t="n">
        <f aca="false">C13-C15</f>
        <v>48.3</v>
      </c>
      <c r="D16" s="28" t="n">
        <f aca="false">D13-D15</f>
        <v>79.73</v>
      </c>
      <c r="E16" s="28" t="n">
        <f aca="false">E13-E15</f>
        <v>501.72</v>
      </c>
      <c r="F16" s="28" t="n">
        <f aca="false">F13-F15</f>
        <v>1265.09</v>
      </c>
      <c r="G16" s="28" t="n">
        <f aca="false">G13-G15</f>
        <v>1924.5</v>
      </c>
      <c r="H16" s="28" t="n">
        <f aca="false">H13-H15</f>
        <v>3890.04</v>
      </c>
      <c r="I16" s="28" t="n">
        <f aca="false">I13-I15</f>
        <v>3941.550963</v>
      </c>
      <c r="J16" s="28" t="n">
        <f aca="false">J13-J15</f>
        <v>5112.38869607813</v>
      </c>
      <c r="K16" s="28" t="n">
        <f aca="false">K13-K15</f>
        <v>6428.72050734375</v>
      </c>
      <c r="L16" s="28" t="n">
        <f aca="false">L13-L15</f>
        <v>7768.84792211719</v>
      </c>
      <c r="M16" s="28" t="n">
        <f aca="false">M13-M15</f>
        <v>9065.98566557775</v>
      </c>
    </row>
    <row r="17" customFormat="false" ht="15" hidden="false" customHeight="false" outlineLevel="0" collapsed="false">
      <c r="A17" s="4" t="s">
        <v>90</v>
      </c>
      <c r="B17" s="25" t="n">
        <f aca="false">B16/B5</f>
        <v>0.0197044088176353</v>
      </c>
      <c r="C17" s="25" t="n">
        <f aca="false">C16/C5</f>
        <v>0.0247311827956989</v>
      </c>
      <c r="D17" s="25" t="n">
        <f aca="false">D16/D5</f>
        <v>0.0279362298528381</v>
      </c>
      <c r="E17" s="25" t="n">
        <f aca="false">E16/E5</f>
        <v>0.0743178788327655</v>
      </c>
      <c r="F17" s="25" t="n">
        <f aca="false">F16/F5</f>
        <v>0.110992279347254</v>
      </c>
      <c r="G17" s="25" t="n">
        <f aca="false">G16/G5</f>
        <v>0.133238715037386</v>
      </c>
      <c r="H17" s="25" t="n">
        <f aca="false">H16/H5</f>
        <v>0.14658929042469</v>
      </c>
      <c r="I17" s="25" t="n">
        <f aca="false">I16/I5</f>
        <v>0.110022511210762</v>
      </c>
      <c r="J17" s="25" t="n">
        <f aca="false">J16/J5</f>
        <v>0.11416375896861</v>
      </c>
      <c r="K17" s="25" t="n">
        <f aca="false">K16/K5</f>
        <v>0.119632090807175</v>
      </c>
      <c r="L17" s="25" t="n">
        <f aca="false">L16/L5</f>
        <v>0.125713502875804</v>
      </c>
      <c r="M17" s="25" t="n">
        <f aca="false">M16/M5</f>
        <v>0.130985225781968</v>
      </c>
    </row>
    <row r="18" customFormat="false" ht="15" hidden="false" customHeight="false" outlineLevel="0" collapsed="false">
      <c r="A18" s="4" t="s">
        <v>91</v>
      </c>
      <c r="B18" s="29" t="n">
        <v>2.12</v>
      </c>
      <c r="C18" s="29" t="n">
        <v>2.5</v>
      </c>
      <c r="D18" s="29" t="n">
        <v>3.84</v>
      </c>
      <c r="E18" s="29" t="n">
        <v>24.49</v>
      </c>
      <c r="F18" s="29" t="n">
        <v>62.76</v>
      </c>
      <c r="G18" s="29" t="n">
        <v>65</v>
      </c>
      <c r="H18" s="29" t="n">
        <v>129.02</v>
      </c>
      <c r="I18" s="30" t="n">
        <f aca="false">I16/Assumptions!$B$34</f>
        <v>130.948536976744</v>
      </c>
      <c r="J18" s="30" t="n">
        <f aca="false">J16/Assumptions!$B$34</f>
        <v>169.846800534157</v>
      </c>
      <c r="K18" s="30" t="n">
        <f aca="false">K16/Assumptions!$B$34</f>
        <v>213.578754396802</v>
      </c>
      <c r="L18" s="30" t="n">
        <f aca="false">L16/Assumptions!$B$34</f>
        <v>258.101259871003</v>
      </c>
      <c r="M18" s="30" t="n">
        <f aca="false">M16/Assumptions!$B$34</f>
        <v>301.195537062384</v>
      </c>
    </row>
    <row r="20" customFormat="false" ht="15" hidden="false" customHeight="true" outlineLevel="0" collapsed="false">
      <c r="A20" s="11" t="s">
        <v>92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</sheetData>
  <mergeCells count="2">
    <mergeCell ref="A1:M1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8" t="s">
        <v>94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</row>
    <row r="4" customFormat="false" ht="15" hidden="false" customHeight="false" outlineLevel="0" collapsed="false">
      <c r="A4" s="31" t="s">
        <v>95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customFormat="false" ht="15" hidden="false" customHeight="false" outlineLevel="0" collapsed="false">
      <c r="A5" s="4" t="s">
        <v>96</v>
      </c>
      <c r="I5" s="32" t="n">
        <f aca="false">'Balance Sheet'!H13</f>
        <v>7329</v>
      </c>
      <c r="J5" s="32" t="n">
        <f aca="false">'Balance Sheet'!I13</f>
        <v>8582.87325</v>
      </c>
      <c r="K5" s="32" t="n">
        <f aca="false">'Balance Sheet'!J13</f>
        <v>9702.4029375</v>
      </c>
      <c r="L5" s="32" t="n">
        <f aca="false">'Balance Sheet'!K13</f>
        <v>10615.9391625</v>
      </c>
      <c r="M5" s="32" t="n">
        <f aca="false">'Balance Sheet'!L13</f>
        <v>11233.91955</v>
      </c>
    </row>
    <row r="6" customFormat="false" ht="15" hidden="false" customHeight="false" outlineLevel="0" collapsed="false">
      <c r="A6" s="4" t="s">
        <v>97</v>
      </c>
      <c r="I6" s="24" t="n">
        <f aca="false">'Income Statement'!I5*Assumptions!B7</f>
        <v>2865.996</v>
      </c>
      <c r="J6" s="24" t="n">
        <f aca="false">'Income Statement'!J5*Assumptions!C7</f>
        <v>3134.683125</v>
      </c>
      <c r="K6" s="24" t="n">
        <f aca="false">'Income Statement'!K5*Assumptions!D7</f>
        <v>3224.2455</v>
      </c>
      <c r="L6" s="24" t="n">
        <f aca="false">'Income Statement'!L5*Assumptions!E7</f>
        <v>3089.9019375</v>
      </c>
      <c r="M6" s="24" t="n">
        <f aca="false">'Income Statement'!M5*Assumptions!F7</f>
        <v>3114.621153</v>
      </c>
    </row>
    <row r="7" customFormat="false" ht="15" hidden="false" customHeight="false" outlineLevel="0" collapsed="false">
      <c r="A7" s="4" t="s">
        <v>98</v>
      </c>
      <c r="I7" s="24" t="n">
        <f aca="false">'Income Statement'!I5*Assumptions!B6</f>
        <v>1612.12275</v>
      </c>
      <c r="J7" s="24" t="n">
        <f aca="false">'Income Statement'!J5*Assumptions!C6</f>
        <v>2015.1534375</v>
      </c>
      <c r="K7" s="24" t="n">
        <f aca="false">'Income Statement'!K5*Assumptions!D6</f>
        <v>2310.709275</v>
      </c>
      <c r="L7" s="24" t="n">
        <f aca="false">'Income Statement'!L5*Assumptions!E6</f>
        <v>2471.92155</v>
      </c>
      <c r="M7" s="24" t="n">
        <f aca="false">'Income Statement'!M5*Assumptions!F6</f>
        <v>2630.1245292</v>
      </c>
    </row>
    <row r="8" customFormat="false" ht="15" hidden="false" customHeight="false" outlineLevel="0" collapsed="false">
      <c r="A8" s="6" t="s">
        <v>99</v>
      </c>
      <c r="I8" s="26" t="n">
        <f aca="false">I5+I6-I7</f>
        <v>8582.87325</v>
      </c>
      <c r="J8" s="26" t="n">
        <f aca="false">J5+J6-J7</f>
        <v>9702.4029375</v>
      </c>
      <c r="K8" s="26" t="n">
        <f aca="false">K5+K6-K7</f>
        <v>10615.9391625</v>
      </c>
      <c r="L8" s="26" t="n">
        <f aca="false">L5+L6-L7</f>
        <v>11233.91955</v>
      </c>
      <c r="M8" s="26" t="n">
        <f aca="false">M5+M6-M7</f>
        <v>11718.4161738</v>
      </c>
    </row>
    <row r="10" customFormat="false" ht="15" hidden="false" customHeight="false" outlineLevel="0" collapsed="false">
      <c r="A10" s="31" t="s">
        <v>100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customFormat="false" ht="15" hidden="false" customHeight="false" outlineLevel="0" collapsed="false">
      <c r="A11" s="4" t="s">
        <v>101</v>
      </c>
      <c r="I11" s="32" t="n">
        <f aca="false">'Balance Sheet'!H8</f>
        <v>3213</v>
      </c>
      <c r="J11" s="32" t="n">
        <f aca="false">'Balance Sheet'!I8</f>
        <v>3786.1992</v>
      </c>
      <c r="K11" s="32" t="n">
        <f aca="false">'Balance Sheet'!J8</f>
        <v>4413.135825</v>
      </c>
      <c r="L11" s="32" t="n">
        <f aca="false">'Balance Sheet'!K8</f>
        <v>5057.984925</v>
      </c>
      <c r="M11" s="32" t="n">
        <f aca="false">'Balance Sheet'!L8</f>
        <v>5675.9653125</v>
      </c>
    </row>
    <row r="12" customFormat="false" ht="15" hidden="false" customHeight="false" outlineLevel="0" collapsed="false">
      <c r="A12" s="4" t="s">
        <v>102</v>
      </c>
      <c r="I12" s="24" t="n">
        <f aca="false">I6*Assumptions!$B$14</f>
        <v>573.1992</v>
      </c>
      <c r="J12" s="24" t="n">
        <f aca="false">J6*Assumptions!$B$14</f>
        <v>626.936625</v>
      </c>
      <c r="K12" s="24" t="n">
        <f aca="false">K6*Assumptions!$B$14</f>
        <v>644.8491</v>
      </c>
      <c r="L12" s="24" t="n">
        <f aca="false">L6*Assumptions!$B$14</f>
        <v>617.9803875</v>
      </c>
      <c r="M12" s="24" t="n">
        <f aca="false">M6*Assumptions!$B$14</f>
        <v>622.9242306</v>
      </c>
    </row>
    <row r="13" customFormat="false" ht="15" hidden="false" customHeight="false" outlineLevel="0" collapsed="false">
      <c r="A13" s="4" t="s">
        <v>103</v>
      </c>
      <c r="I13" s="23" t="n">
        <f aca="false">0</f>
        <v>0</v>
      </c>
      <c r="J13" s="23" t="n">
        <f aca="false">0</f>
        <v>0</v>
      </c>
      <c r="K13" s="23" t="n">
        <f aca="false">0</f>
        <v>0</v>
      </c>
      <c r="L13" s="23" t="n">
        <f aca="false">0</f>
        <v>0</v>
      </c>
      <c r="M13" s="23" t="n">
        <f aca="false">0</f>
        <v>0</v>
      </c>
    </row>
    <row r="14" customFormat="false" ht="15" hidden="false" customHeight="false" outlineLevel="0" collapsed="false">
      <c r="A14" s="6" t="s">
        <v>104</v>
      </c>
      <c r="I14" s="26" t="n">
        <f aca="false">I11+I12-I13</f>
        <v>3786.1992</v>
      </c>
      <c r="J14" s="26" t="n">
        <f aca="false">J11+J12-J13</f>
        <v>4413.135825</v>
      </c>
      <c r="K14" s="26" t="n">
        <f aca="false">K11+K12-K13</f>
        <v>5057.984925</v>
      </c>
      <c r="L14" s="26" t="n">
        <f aca="false">L11+L12-L13</f>
        <v>5675.9653125</v>
      </c>
      <c r="M14" s="26" t="n">
        <f aca="false">M11+M12-M13</f>
        <v>6298.8895431</v>
      </c>
    </row>
    <row r="16" customFormat="false" ht="15" hidden="false" customHeight="false" outlineLevel="0" collapsed="false">
      <c r="A16" s="4" t="s">
        <v>105</v>
      </c>
      <c r="I16" s="24" t="n">
        <f aca="false">(I11+I14)/2</f>
        <v>3499.5996</v>
      </c>
      <c r="J16" s="24" t="n">
        <f aca="false">(J11+J14)/2</f>
        <v>4099.6675125</v>
      </c>
      <c r="K16" s="24" t="n">
        <f aca="false">(K11+K14)/2</f>
        <v>4735.560375</v>
      </c>
      <c r="L16" s="24" t="n">
        <f aca="false">(L11+L14)/2</f>
        <v>5366.97511875</v>
      </c>
      <c r="M16" s="24" t="n">
        <f aca="false">(M11+M14)/2</f>
        <v>5987.4274278</v>
      </c>
    </row>
    <row r="17" customFormat="false" ht="15" hidden="false" customHeight="false" outlineLevel="0" collapsed="false">
      <c r="A17" s="6" t="s">
        <v>106</v>
      </c>
      <c r="I17" s="24" t="n">
        <f aca="false">I16*Assumptions!$B$22</f>
        <v>297.465966</v>
      </c>
      <c r="J17" s="24" t="n">
        <f aca="false">J16*Assumptions!$B$22</f>
        <v>348.4717385625</v>
      </c>
      <c r="K17" s="24" t="n">
        <f aca="false">K16*Assumptions!$B$22</f>
        <v>402.522631875</v>
      </c>
      <c r="L17" s="24" t="n">
        <f aca="false">L16*Assumptions!$B$22</f>
        <v>456.19288509375</v>
      </c>
      <c r="M17" s="24" t="n">
        <f aca="false">M16*Assumptions!$B$22</f>
        <v>508.931331363</v>
      </c>
    </row>
    <row r="19" customFormat="false" ht="22.35" hidden="false" customHeight="true" outlineLevel="0" collapsed="false">
      <c r="A19" s="11" t="s">
        <v>107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4">
    <mergeCell ref="A1:M1"/>
    <mergeCell ref="A4:M4"/>
    <mergeCell ref="A10:M10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8" hidden="false" customHeight="true" outlineLevel="0" collapsed="false">
      <c r="A3" s="8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35</v>
      </c>
      <c r="J3" s="22" t="s">
        <v>36</v>
      </c>
      <c r="K3" s="22" t="s">
        <v>37</v>
      </c>
      <c r="L3" s="22" t="s">
        <v>38</v>
      </c>
      <c r="M3" s="22" t="s">
        <v>39</v>
      </c>
    </row>
    <row r="4" customFormat="false" ht="15" hidden="false" customHeight="false" outlineLevel="0" collapsed="false">
      <c r="A4" s="31" t="s">
        <v>109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customFormat="false" ht="15" hidden="false" customHeight="false" outlineLevel="0" collapsed="false">
      <c r="A5" s="4" t="s">
        <v>110</v>
      </c>
      <c r="B5" s="23" t="n">
        <v>197</v>
      </c>
      <c r="C5" s="23" t="n">
        <v>197</v>
      </c>
      <c r="D5" s="23" t="n">
        <v>197</v>
      </c>
      <c r="E5" s="23" t="n">
        <v>243</v>
      </c>
      <c r="F5" s="23" t="n">
        <v>263</v>
      </c>
      <c r="G5" s="23" t="n">
        <v>287</v>
      </c>
      <c r="H5" s="23" t="n">
        <v>288</v>
      </c>
      <c r="I5" s="24" t="n">
        <f aca="false">H5</f>
        <v>288</v>
      </c>
      <c r="J5" s="24" t="n">
        <f aca="false">I5</f>
        <v>288</v>
      </c>
      <c r="K5" s="24" t="n">
        <f aca="false">J5</f>
        <v>288</v>
      </c>
      <c r="L5" s="24" t="n">
        <f aca="false">K5</f>
        <v>288</v>
      </c>
      <c r="M5" s="24" t="n">
        <f aca="false">L5</f>
        <v>288</v>
      </c>
    </row>
    <row r="6" customFormat="false" ht="15" hidden="false" customHeight="false" outlineLevel="0" collapsed="false">
      <c r="A6" s="4" t="s">
        <v>111</v>
      </c>
      <c r="B6" s="23" t="n">
        <v>101</v>
      </c>
      <c r="C6" s="23" t="n">
        <v>148</v>
      </c>
      <c r="D6" s="23" t="n">
        <v>231</v>
      </c>
      <c r="E6" s="23" t="n">
        <v>1595</v>
      </c>
      <c r="F6" s="23" t="n">
        <v>3825</v>
      </c>
      <c r="G6" s="23" t="n">
        <v>9192</v>
      </c>
      <c r="H6" s="23" t="n">
        <v>14150</v>
      </c>
      <c r="I6" s="24" t="n">
        <f aca="false">H6+'Income Statement'!I16*(1-Assumptions!$B$13)</f>
        <v>18012.71994374</v>
      </c>
      <c r="J6" s="24" t="n">
        <f aca="false">I6+'Income Statement'!J16*(1-Assumptions!$B$13)</f>
        <v>23022.8608658966</v>
      </c>
      <c r="K6" s="24" t="n">
        <f aca="false">J6+'Income Statement'!K16*(1-Assumptions!$B$13)</f>
        <v>29323.0069630934</v>
      </c>
      <c r="L6" s="24" t="n">
        <f aca="false">K6+'Income Statement'!L16*(1-Assumptions!$B$13)</f>
        <v>36936.4779267683</v>
      </c>
      <c r="M6" s="24" t="n">
        <f aca="false">L6+'Income Statement'!M16*(1-Assumptions!$B$13)</f>
        <v>45821.1438790345</v>
      </c>
    </row>
    <row r="7" customFormat="false" ht="15" hidden="false" customHeight="false" outlineLevel="0" collapsed="false">
      <c r="A7" s="6" t="s">
        <v>112</v>
      </c>
      <c r="B7" s="26" t="n">
        <f aca="false">B5+B6</f>
        <v>298</v>
      </c>
      <c r="C7" s="26" t="n">
        <f aca="false">C5+C6</f>
        <v>345</v>
      </c>
      <c r="D7" s="26" t="n">
        <f aca="false">D5+D6</f>
        <v>428</v>
      </c>
      <c r="E7" s="26" t="n">
        <f aca="false">E5+E6</f>
        <v>1838</v>
      </c>
      <c r="F7" s="26" t="n">
        <f aca="false">F5+F6</f>
        <v>4088</v>
      </c>
      <c r="G7" s="26" t="n">
        <f aca="false">G5+G6</f>
        <v>9479</v>
      </c>
      <c r="H7" s="26" t="n">
        <f aca="false">H5+H6</f>
        <v>14438</v>
      </c>
      <c r="I7" s="26" t="n">
        <f aca="false">I5+I6</f>
        <v>18300.71994374</v>
      </c>
      <c r="J7" s="26" t="n">
        <f aca="false">J5+J6</f>
        <v>23310.8608658966</v>
      </c>
      <c r="K7" s="26" t="n">
        <f aca="false">K5+K6</f>
        <v>29611.0069630934</v>
      </c>
      <c r="L7" s="26" t="n">
        <f aca="false">L5+L6</f>
        <v>37224.4779267683</v>
      </c>
      <c r="M7" s="26" t="n">
        <f aca="false">M5+M6</f>
        <v>46109.1438790345</v>
      </c>
    </row>
    <row r="8" customFormat="false" ht="15" hidden="false" customHeight="false" outlineLevel="0" collapsed="false">
      <c r="A8" s="4" t="s">
        <v>113</v>
      </c>
      <c r="B8" s="23" t="n">
        <v>157</v>
      </c>
      <c r="C8" s="23" t="n">
        <v>340</v>
      </c>
      <c r="D8" s="23" t="n">
        <v>363</v>
      </c>
      <c r="E8" s="23" t="n">
        <v>320</v>
      </c>
      <c r="F8" s="23" t="n">
        <v>553</v>
      </c>
      <c r="G8" s="23" t="n">
        <v>1199</v>
      </c>
      <c r="H8" s="23" t="n">
        <v>3213</v>
      </c>
      <c r="I8" s="24" t="n">
        <f aca="false">Schedules!I14</f>
        <v>3786.1992</v>
      </c>
      <c r="J8" s="24" t="n">
        <f aca="false">Schedules!J14</f>
        <v>4413.135825</v>
      </c>
      <c r="K8" s="24" t="n">
        <f aca="false">Schedules!K14</f>
        <v>5057.984925</v>
      </c>
      <c r="L8" s="24" t="n">
        <f aca="false">Schedules!L14</f>
        <v>5675.9653125</v>
      </c>
      <c r="M8" s="24" t="n">
        <f aca="false">Schedules!M14</f>
        <v>6298.8895431</v>
      </c>
    </row>
    <row r="9" customFormat="false" ht="15" hidden="false" customHeight="false" outlineLevel="0" collapsed="false">
      <c r="A9" s="4" t="s">
        <v>114</v>
      </c>
      <c r="B9" s="23" t="n">
        <v>483</v>
      </c>
      <c r="C9" s="23" t="n">
        <v>596</v>
      </c>
      <c r="D9" s="23" t="n">
        <v>1362</v>
      </c>
      <c r="E9" s="23" t="n">
        <v>5247</v>
      </c>
      <c r="F9" s="23" t="n">
        <v>6635</v>
      </c>
      <c r="G9" s="23" t="n">
        <v>9028</v>
      </c>
      <c r="H9" s="23" t="n">
        <v>12465</v>
      </c>
      <c r="I9" s="24" t="n">
        <f aca="false">'Income Statement'!I5*Assumptions!$B$15</f>
        <v>16827.75</v>
      </c>
      <c r="J9" s="24" t="n">
        <f aca="false">'Income Statement'!J5*Assumptions!$B$15</f>
        <v>21034.6875</v>
      </c>
      <c r="K9" s="24" t="n">
        <f aca="false">'Income Statement'!K5*Assumptions!$B$15</f>
        <v>25241.625</v>
      </c>
      <c r="L9" s="24" t="n">
        <f aca="false">'Income Statement'!L5*Assumptions!$B$15</f>
        <v>29027.86875</v>
      </c>
      <c r="M9" s="24" t="n">
        <f aca="false">'Income Statement'!M5*Assumptions!$B$15</f>
        <v>32511.213</v>
      </c>
    </row>
    <row r="10" customFormat="false" ht="15" hidden="false" customHeight="false" outlineLevel="0" collapsed="false">
      <c r="A10" s="6" t="s">
        <v>115</v>
      </c>
      <c r="B10" s="28" t="n">
        <f aca="false">B7+B8+B9</f>
        <v>938</v>
      </c>
      <c r="C10" s="28" t="n">
        <f aca="false">C7+C8+C9</f>
        <v>1281</v>
      </c>
      <c r="D10" s="28" t="n">
        <f aca="false">D7+D8+D9</f>
        <v>2153</v>
      </c>
      <c r="E10" s="28" t="n">
        <f aca="false">E7+E8+E9</f>
        <v>7405</v>
      </c>
      <c r="F10" s="28" t="n">
        <f aca="false">F7+F8+F9</f>
        <v>11276</v>
      </c>
      <c r="G10" s="28" t="n">
        <f aca="false">G7+G8+G9</f>
        <v>19706</v>
      </c>
      <c r="H10" s="28" t="n">
        <f aca="false">H7+H8+H9</f>
        <v>30116</v>
      </c>
      <c r="I10" s="28" t="n">
        <f aca="false">I7+I8+I9</f>
        <v>38914.66914374</v>
      </c>
      <c r="J10" s="28" t="n">
        <f aca="false">J7+J8+J9</f>
        <v>48758.6841908966</v>
      </c>
      <c r="K10" s="28" t="n">
        <f aca="false">K7+K8+K9</f>
        <v>59910.6168880935</v>
      </c>
      <c r="L10" s="28" t="n">
        <f aca="false">L7+L8+L9</f>
        <v>71928.3119892683</v>
      </c>
      <c r="M10" s="28" t="n">
        <f aca="false">M7+M8+M9</f>
        <v>84919.2464221345</v>
      </c>
    </row>
    <row r="12" customFormat="false" ht="15" hidden="false" customHeight="false" outlineLevel="0" collapsed="false">
      <c r="A12" s="31" t="s">
        <v>116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customFormat="false" ht="15" hidden="false" customHeight="false" outlineLevel="0" collapsed="false">
      <c r="A13" s="4" t="s">
        <v>117</v>
      </c>
      <c r="B13" s="23" t="n">
        <v>152</v>
      </c>
      <c r="C13" s="23" t="n">
        <v>285</v>
      </c>
      <c r="D13" s="23" t="n">
        <v>625</v>
      </c>
      <c r="E13" s="23" t="n">
        <v>1105</v>
      </c>
      <c r="F13" s="23" t="n">
        <v>1450</v>
      </c>
      <c r="G13" s="23" t="n">
        <v>4051</v>
      </c>
      <c r="H13" s="23" t="n">
        <v>7329</v>
      </c>
      <c r="I13" s="24" t="n">
        <f aca="false">Schedules!I8</f>
        <v>8582.87325</v>
      </c>
      <c r="J13" s="24" t="n">
        <f aca="false">Schedules!J8</f>
        <v>9702.4029375</v>
      </c>
      <c r="K13" s="24" t="n">
        <f aca="false">Schedules!K8</f>
        <v>10615.9391625</v>
      </c>
      <c r="L13" s="24" t="n">
        <f aca="false">Schedules!L8</f>
        <v>11233.91955</v>
      </c>
      <c r="M13" s="24" t="n">
        <f aca="false">Schedules!M8</f>
        <v>11718.4161738</v>
      </c>
    </row>
    <row r="14" customFormat="false" ht="15" hidden="false" customHeight="false" outlineLevel="0" collapsed="false">
      <c r="A14" s="4" t="s">
        <v>118</v>
      </c>
      <c r="B14" s="23" t="n">
        <v>40</v>
      </c>
      <c r="C14" s="23" t="n">
        <v>3</v>
      </c>
      <c r="D14" s="23" t="n">
        <v>124</v>
      </c>
      <c r="E14" s="23" t="n">
        <v>537</v>
      </c>
      <c r="F14" s="23" t="n">
        <v>1341</v>
      </c>
      <c r="G14" s="23" t="n">
        <v>1884</v>
      </c>
      <c r="H14" s="23" t="n">
        <v>3476</v>
      </c>
      <c r="I14" s="24" t="n">
        <f aca="false">$H$14</f>
        <v>3476</v>
      </c>
      <c r="J14" s="24" t="n">
        <f aca="false">$H$14</f>
        <v>3476</v>
      </c>
      <c r="K14" s="24" t="n">
        <f aca="false">$H$14</f>
        <v>3476</v>
      </c>
      <c r="L14" s="24" t="n">
        <f aca="false">$H$14</f>
        <v>3476</v>
      </c>
      <c r="M14" s="24" t="n">
        <f aca="false">$H$14</f>
        <v>3476</v>
      </c>
    </row>
    <row r="15" customFormat="false" ht="15" hidden="false" customHeight="false" outlineLevel="0" collapsed="false">
      <c r="A15" s="4" t="s">
        <v>119</v>
      </c>
      <c r="B15" s="23" t="n">
        <v>85</v>
      </c>
      <c r="C15" s="23" t="n">
        <v>115</v>
      </c>
      <c r="D15" s="23" t="n">
        <v>143</v>
      </c>
      <c r="E15" s="23" t="n">
        <v>31</v>
      </c>
      <c r="F15" s="23" t="n">
        <v>71</v>
      </c>
      <c r="G15" s="23" t="n">
        <v>65</v>
      </c>
      <c r="H15" s="23" t="n">
        <v>953</v>
      </c>
      <c r="I15" s="24" t="n">
        <f aca="false">$H$15</f>
        <v>953</v>
      </c>
      <c r="J15" s="24" t="n">
        <f aca="false">$H$15</f>
        <v>953</v>
      </c>
      <c r="K15" s="24" t="n">
        <f aca="false">$H$15</f>
        <v>953</v>
      </c>
      <c r="L15" s="24" t="n">
        <f aca="false">$H$15</f>
        <v>953</v>
      </c>
      <c r="M15" s="24" t="n">
        <f aca="false">$H$15</f>
        <v>953</v>
      </c>
    </row>
    <row r="16" customFormat="false" ht="15" hidden="false" customHeight="false" outlineLevel="0" collapsed="false">
      <c r="A16" s="4" t="s">
        <v>120</v>
      </c>
      <c r="B16" s="23" t="n">
        <v>661</v>
      </c>
      <c r="C16" s="23" t="n">
        <v>878</v>
      </c>
      <c r="D16" s="23" t="n">
        <v>1262</v>
      </c>
      <c r="E16" s="23" t="n">
        <v>5732</v>
      </c>
      <c r="F16" s="23" t="n">
        <v>8414</v>
      </c>
      <c r="G16" s="23" t="n">
        <v>13706</v>
      </c>
      <c r="H16" s="23" t="n">
        <v>18358</v>
      </c>
      <c r="I16" s="24" t="n">
        <f aca="false">I10-I13-I14-I15</f>
        <v>25902.79589374</v>
      </c>
      <c r="J16" s="24" t="n">
        <f aca="false">J10-J13-J14-J15</f>
        <v>34627.2812533966</v>
      </c>
      <c r="K16" s="24" t="n">
        <f aca="false">K10-K13-K14-K15</f>
        <v>44865.6777255934</v>
      </c>
      <c r="L16" s="24" t="n">
        <f aca="false">L10-L13-L14-L15</f>
        <v>56265.3924392683</v>
      </c>
      <c r="M16" s="24" t="n">
        <f aca="false">M10-M13-M14-M15</f>
        <v>68771.8302483345</v>
      </c>
    </row>
    <row r="17" customFormat="false" ht="22.35" hidden="false" customHeight="true" outlineLevel="0" collapsed="false">
      <c r="A17" s="11" t="s">
        <v>121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15" hidden="false" customHeight="false" outlineLevel="0" collapsed="false">
      <c r="A18" s="6" t="s">
        <v>122</v>
      </c>
      <c r="B18" s="28" t="n">
        <f aca="false">B13+B14+B15+B16</f>
        <v>938</v>
      </c>
      <c r="C18" s="28" t="n">
        <f aca="false">C13+C14+C15+C16</f>
        <v>1281</v>
      </c>
      <c r="D18" s="28" t="n">
        <f aca="false">D13+D14+D15+D16</f>
        <v>2154</v>
      </c>
      <c r="E18" s="28" t="n">
        <f aca="false">E13+E14+E15+E16</f>
        <v>7405</v>
      </c>
      <c r="F18" s="28" t="n">
        <f aca="false">F13+F14+F15+F16</f>
        <v>11276</v>
      </c>
      <c r="G18" s="28" t="n">
        <f aca="false">G13+G14+G15+G16</f>
        <v>19706</v>
      </c>
      <c r="H18" s="28" t="n">
        <f aca="false">H13+H14+H15+H16</f>
        <v>30116</v>
      </c>
      <c r="I18" s="28" t="n">
        <f aca="false">I13+I14+I15+I16</f>
        <v>38914.66914374</v>
      </c>
      <c r="J18" s="28" t="n">
        <f aca="false">J13+J14+J15+J16</f>
        <v>48758.6841908966</v>
      </c>
      <c r="K18" s="28" t="n">
        <f aca="false">K13+K14+K15+K16</f>
        <v>59910.6168880934</v>
      </c>
      <c r="L18" s="28" t="n">
        <f aca="false">L13+L14+L15+L16</f>
        <v>71928.3119892683</v>
      </c>
      <c r="M18" s="28" t="n">
        <f aca="false">M13+M14+M15+M16</f>
        <v>84919.2464221345</v>
      </c>
    </row>
    <row r="20" customFormat="false" ht="15" hidden="false" customHeight="false" outlineLevel="0" collapsed="false">
      <c r="A20" s="6" t="s">
        <v>123</v>
      </c>
      <c r="B20" s="33" t="n">
        <f aca="false">B18-B10</f>
        <v>0</v>
      </c>
      <c r="C20" s="33" t="n">
        <f aca="false">C18-C10</f>
        <v>0</v>
      </c>
      <c r="D20" s="33" t="n">
        <f aca="false">D18-D10</f>
        <v>1</v>
      </c>
      <c r="E20" s="33" t="n">
        <f aca="false">E18-E10</f>
        <v>0</v>
      </c>
      <c r="F20" s="33" t="n">
        <f aca="false">F18-F10</f>
        <v>0</v>
      </c>
      <c r="G20" s="33" t="n">
        <f aca="false">G18-G10</f>
        <v>0</v>
      </c>
      <c r="H20" s="33" t="n">
        <f aca="false">H18-H10</f>
        <v>0</v>
      </c>
      <c r="I20" s="33" t="n">
        <f aca="false">I18-I10</f>
        <v>0</v>
      </c>
      <c r="J20" s="33" t="n">
        <f aca="false">J18-J10</f>
        <v>0</v>
      </c>
      <c r="K20" s="33" t="n">
        <f aca="false">K18-K10</f>
        <v>0</v>
      </c>
      <c r="L20" s="33" t="n">
        <f aca="false">L18-L10</f>
        <v>0</v>
      </c>
      <c r="M20" s="33" t="n">
        <f aca="false">M18-M10</f>
        <v>0</v>
      </c>
    </row>
  </sheetData>
  <mergeCells count="4">
    <mergeCell ref="A1:M1"/>
    <mergeCell ref="A4:M4"/>
    <mergeCell ref="A12:M12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8" hidden="false" customHeight="true" outlineLevel="0" collapsed="false">
      <c r="A3" s="8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35</v>
      </c>
      <c r="J3" s="22" t="s">
        <v>36</v>
      </c>
      <c r="K3" s="22" t="s">
        <v>37</v>
      </c>
      <c r="L3" s="22" t="s">
        <v>38</v>
      </c>
      <c r="M3" s="22" t="s">
        <v>39</v>
      </c>
    </row>
    <row r="5" customFormat="false" ht="15" hidden="false" customHeight="false" outlineLevel="0" collapsed="false">
      <c r="A5" s="4" t="s">
        <v>125</v>
      </c>
      <c r="B5" s="34" t="s">
        <v>126</v>
      </c>
      <c r="C5" s="34" t="s">
        <v>126</v>
      </c>
      <c r="D5" s="34" t="s">
        <v>126</v>
      </c>
      <c r="E5" s="34" t="s">
        <v>126</v>
      </c>
      <c r="F5" s="34" t="s">
        <v>126</v>
      </c>
      <c r="G5" s="34" t="s">
        <v>126</v>
      </c>
      <c r="H5" s="34" t="s">
        <v>126</v>
      </c>
      <c r="I5" s="24" t="n">
        <f aca="false">('Income Statement'!I5-'Income Statement'!H5)*Assumptions!B8</f>
        <v>1393.1925</v>
      </c>
      <c r="J5" s="24" t="n">
        <f aca="false">('Income Statement'!J5-'Income Statement'!I5)*Assumptions!C8</f>
        <v>1253.87325</v>
      </c>
      <c r="K5" s="24" t="n">
        <f aca="false">('Income Statement'!K5-'Income Statement'!J5)*Assumptions!D8</f>
        <v>1074.7485</v>
      </c>
      <c r="L5" s="24" t="n">
        <f aca="false">('Income Statement'!L5-'Income Statement'!K5)*Assumptions!E8</f>
        <v>806.061375</v>
      </c>
      <c r="M5" s="24" t="n">
        <f aca="false">('Income Statement'!M5-'Income Statement'!L5)*Assumptions!F8</f>
        <v>741.576465000001</v>
      </c>
    </row>
    <row r="7" customFormat="false" ht="15" hidden="false" customHeight="false" outlineLevel="0" collapsed="false">
      <c r="A7" s="6" t="s">
        <v>127</v>
      </c>
      <c r="B7" s="23" t="n">
        <v>83</v>
      </c>
      <c r="C7" s="23" t="n">
        <v>67</v>
      </c>
      <c r="D7" s="23" t="n">
        <v>698</v>
      </c>
      <c r="E7" s="23" t="n">
        <v>1560</v>
      </c>
      <c r="F7" s="23" t="n">
        <v>2305</v>
      </c>
      <c r="G7" s="23" t="n">
        <v>3158</v>
      </c>
      <c r="H7" s="23" t="n">
        <v>1627</v>
      </c>
      <c r="I7" s="24" t="n">
        <f aca="false">'Income Statement'!I16+'Income Statement'!I9-I5</f>
        <v>4160.481213</v>
      </c>
      <c r="J7" s="24" t="n">
        <f aca="false">'Income Statement'!J16+'Income Statement'!J9-J5</f>
        <v>5873.66888357813</v>
      </c>
      <c r="K7" s="24" t="n">
        <f aca="false">'Income Statement'!K16+'Income Statement'!K9-K5</f>
        <v>7664.68128234375</v>
      </c>
      <c r="L7" s="24" t="n">
        <f aca="false">'Income Statement'!L16+'Income Statement'!L9-L5</f>
        <v>9434.70809711719</v>
      </c>
      <c r="M7" s="24" t="n">
        <f aca="false">'Income Statement'!M16+'Income Statement'!M9-M5</f>
        <v>10954.5337297778</v>
      </c>
    </row>
    <row r="8" customFormat="false" ht="15" hidden="false" customHeight="false" outlineLevel="0" collapsed="false">
      <c r="A8" s="4" t="s">
        <v>128</v>
      </c>
      <c r="B8" s="23" t="n">
        <v>-22</v>
      </c>
      <c r="C8" s="23" t="n">
        <v>-250</v>
      </c>
      <c r="D8" s="23" t="n">
        <v>-673</v>
      </c>
      <c r="E8" s="23" t="n">
        <v>-2088</v>
      </c>
      <c r="F8" s="23" t="n">
        <v>-3346</v>
      </c>
      <c r="G8" s="23" t="n">
        <v>-6806</v>
      </c>
      <c r="H8" s="23" t="n">
        <v>-3953</v>
      </c>
      <c r="I8" s="24" t="n">
        <f aca="false">-Schedules!I6</f>
        <v>-2865.996</v>
      </c>
      <c r="J8" s="24" t="n">
        <f aca="false">-Schedules!J6</f>
        <v>-3134.683125</v>
      </c>
      <c r="K8" s="24" t="n">
        <f aca="false">-Schedules!K6</f>
        <v>-3224.2455</v>
      </c>
      <c r="L8" s="24" t="n">
        <f aca="false">-Schedules!L6</f>
        <v>-3089.9019375</v>
      </c>
      <c r="M8" s="24" t="n">
        <f aca="false">-Schedules!M6</f>
        <v>-3114.621153</v>
      </c>
    </row>
    <row r="9" customFormat="false" ht="15" hidden="false" customHeight="false" outlineLevel="0" collapsed="false">
      <c r="A9" s="4" t="s">
        <v>129</v>
      </c>
      <c r="B9" s="23" t="n">
        <v>-50</v>
      </c>
      <c r="C9" s="23" t="n">
        <v>161</v>
      </c>
      <c r="D9" s="23" t="n">
        <v>101</v>
      </c>
      <c r="E9" s="23" t="n">
        <v>642</v>
      </c>
      <c r="F9" s="23" t="n">
        <v>909</v>
      </c>
      <c r="G9" s="23" t="n">
        <v>4036</v>
      </c>
      <c r="H9" s="23" t="n">
        <v>2573</v>
      </c>
      <c r="I9" s="24" t="n">
        <f aca="false">Schedules!I12-Schedules!I13-('Income Statement'!I16*Assumptions!$B$13)</f>
        <v>494.36818074</v>
      </c>
      <c r="J9" s="24" t="n">
        <f aca="false">Schedules!J12-Schedules!J13-('Income Statement'!J16*Assumptions!$B$13)</f>
        <v>524.688851078438</v>
      </c>
      <c r="K9" s="24" t="n">
        <f aca="false">Schedules!K12-Schedules!K13-('Income Statement'!K16*Assumptions!$B$13)</f>
        <v>516.274689853125</v>
      </c>
      <c r="L9" s="24" t="n">
        <f aca="false">Schedules!L12-Schedules!L13-('Income Statement'!L16*Assumptions!$B$13)</f>
        <v>462.603429057657</v>
      </c>
      <c r="M9" s="24" t="n">
        <f aca="false">Schedules!M12-Schedules!M13-('Income Statement'!M16*Assumptions!$B$13)</f>
        <v>441.604517288445</v>
      </c>
    </row>
    <row r="10" customFormat="false" ht="15" hidden="false" customHeight="false" outlineLevel="0" collapsed="false">
      <c r="A10" s="6" t="s">
        <v>130</v>
      </c>
      <c r="B10" s="26" t="n">
        <f aca="false">B7+B8+B9</f>
        <v>11</v>
      </c>
      <c r="C10" s="26" t="n">
        <f aca="false">C7+C8+C9</f>
        <v>-22</v>
      </c>
      <c r="D10" s="26" t="n">
        <f aca="false">D7+D8+D9</f>
        <v>126</v>
      </c>
      <c r="E10" s="26" t="n">
        <f aca="false">E7+E8+E9</f>
        <v>114</v>
      </c>
      <c r="F10" s="26" t="n">
        <f aca="false">F7+F8+F9</f>
        <v>-132</v>
      </c>
      <c r="G10" s="26" t="n">
        <f aca="false">G7+G8+G9</f>
        <v>388</v>
      </c>
      <c r="H10" s="26" t="n">
        <f aca="false">H7+H8+H9</f>
        <v>247</v>
      </c>
      <c r="I10" s="26" t="n">
        <f aca="false">I7+I8+I9</f>
        <v>1788.85339374</v>
      </c>
      <c r="J10" s="26" t="n">
        <f aca="false">J7+J8+J9</f>
        <v>3263.67460965656</v>
      </c>
      <c r="K10" s="26" t="n">
        <f aca="false">K7+K8+K9</f>
        <v>4956.71047219688</v>
      </c>
      <c r="L10" s="26" t="n">
        <f aca="false">L7+L8+L9</f>
        <v>6807.40958867485</v>
      </c>
      <c r="M10" s="26" t="n">
        <f aca="false">M7+M8+M9</f>
        <v>8281.51709406619</v>
      </c>
    </row>
    <row r="12" customFormat="false" ht="15" hidden="false" customHeight="false" outlineLevel="0" collapsed="false">
      <c r="A12" s="4" t="s">
        <v>131</v>
      </c>
      <c r="B12" s="23" t="n">
        <v>32</v>
      </c>
      <c r="C12" s="23" t="n">
        <v>-35</v>
      </c>
      <c r="D12" s="23" t="n">
        <v>202</v>
      </c>
      <c r="E12" s="23" t="n">
        <v>698</v>
      </c>
      <c r="F12" s="23" t="n">
        <v>968</v>
      </c>
      <c r="G12" s="23" t="n">
        <v>-114</v>
      </c>
      <c r="H12" s="23" t="n">
        <v>-3209</v>
      </c>
      <c r="I12" s="24" t="n">
        <f aca="false">I7-Schedules!I6</f>
        <v>1294.485213</v>
      </c>
      <c r="J12" s="24" t="n">
        <f aca="false">J7-Schedules!J6</f>
        <v>2738.98575857812</v>
      </c>
      <c r="K12" s="24" t="n">
        <f aca="false">K7-Schedules!K6</f>
        <v>4440.43578234375</v>
      </c>
      <c r="L12" s="24" t="n">
        <f aca="false">L7-Schedules!L6</f>
        <v>6344.80615961719</v>
      </c>
      <c r="M12" s="24" t="n">
        <f aca="false">M7-Schedules!M6</f>
        <v>7839.91257677775</v>
      </c>
    </row>
    <row r="14" customFormat="false" ht="15" hidden="false" customHeight="false" outlineLevel="0" collapsed="false">
      <c r="A14" s="31" t="s">
        <v>132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customFormat="false" ht="15" hidden="false" customHeight="false" outlineLevel="0" collapsed="false">
      <c r="A15" s="4" t="s">
        <v>83</v>
      </c>
      <c r="I15" s="35" t="n">
        <f aca="false">'Income Statement'!I10</f>
        <v>5552.86725</v>
      </c>
      <c r="J15" s="35" t="n">
        <f aca="false">'Income Statement'!J10</f>
        <v>7164.99</v>
      </c>
      <c r="K15" s="35" t="n">
        <f aca="false">'Income Statement'!K10</f>
        <v>8974.149975</v>
      </c>
      <c r="L15" s="35" t="n">
        <f aca="false">'Income Statement'!L10</f>
        <v>10814.65678125</v>
      </c>
      <c r="M15" s="35" t="n">
        <f aca="false">'Income Statement'!M10</f>
        <v>12596.9122188</v>
      </c>
    </row>
    <row r="16" customFormat="false" ht="15" hidden="false" customHeight="false" outlineLevel="0" collapsed="false">
      <c r="A16" s="4" t="s">
        <v>133</v>
      </c>
      <c r="I16" s="24" t="n">
        <f aca="false">I15*(1-Assumptions!$B$12)</f>
        <v>4164.6504375</v>
      </c>
      <c r="J16" s="24" t="n">
        <f aca="false">J15*(1-Assumptions!$B$12)</f>
        <v>5373.7425</v>
      </c>
      <c r="K16" s="24" t="n">
        <f aca="false">K15*(1-Assumptions!$B$12)</f>
        <v>6730.61248125</v>
      </c>
      <c r="L16" s="24" t="n">
        <f aca="false">L15*(1-Assumptions!$B$12)</f>
        <v>8110.9925859375</v>
      </c>
      <c r="M16" s="24" t="n">
        <f aca="false">M15*(1-Assumptions!$B$12)</f>
        <v>9447.6841641</v>
      </c>
    </row>
    <row r="17" customFormat="false" ht="15" hidden="false" customHeight="false" outlineLevel="0" collapsed="false">
      <c r="A17" s="4" t="s">
        <v>134</v>
      </c>
      <c r="I17" s="35" t="n">
        <f aca="false">'Income Statement'!I9</f>
        <v>1612.12275</v>
      </c>
      <c r="J17" s="35" t="n">
        <f aca="false">'Income Statement'!J9</f>
        <v>2015.1534375</v>
      </c>
      <c r="K17" s="35" t="n">
        <f aca="false">'Income Statement'!K9</f>
        <v>2310.709275</v>
      </c>
      <c r="L17" s="35" t="n">
        <f aca="false">'Income Statement'!L9</f>
        <v>2471.92155</v>
      </c>
      <c r="M17" s="35" t="n">
        <f aca="false">'Income Statement'!M9</f>
        <v>2630.1245292</v>
      </c>
    </row>
    <row r="18" customFormat="false" ht="15" hidden="false" customHeight="false" outlineLevel="0" collapsed="false">
      <c r="A18" s="4" t="s">
        <v>135</v>
      </c>
      <c r="I18" s="35" t="n">
        <f aca="false">Schedules!I6</f>
        <v>2865.996</v>
      </c>
      <c r="J18" s="35" t="n">
        <f aca="false">Schedules!J6</f>
        <v>3134.683125</v>
      </c>
      <c r="K18" s="35" t="n">
        <f aca="false">Schedules!K6</f>
        <v>3224.2455</v>
      </c>
      <c r="L18" s="35" t="n">
        <f aca="false">Schedules!L6</f>
        <v>3089.9019375</v>
      </c>
      <c r="M18" s="35" t="n">
        <f aca="false">Schedules!M6</f>
        <v>3114.621153</v>
      </c>
    </row>
    <row r="19" customFormat="false" ht="15" hidden="false" customHeight="false" outlineLevel="0" collapsed="false">
      <c r="A19" s="4" t="s">
        <v>136</v>
      </c>
      <c r="I19" s="24" t="n">
        <f aca="false">I5</f>
        <v>1393.1925</v>
      </c>
      <c r="J19" s="24" t="n">
        <f aca="false">J5</f>
        <v>1253.87325</v>
      </c>
      <c r="K19" s="24" t="n">
        <f aca="false">K5</f>
        <v>1074.7485</v>
      </c>
      <c r="L19" s="24" t="n">
        <f aca="false">L5</f>
        <v>806.061375</v>
      </c>
      <c r="M19" s="24" t="n">
        <f aca="false">M5</f>
        <v>741.576465000001</v>
      </c>
    </row>
    <row r="20" customFormat="false" ht="15" hidden="false" customHeight="false" outlineLevel="0" collapsed="false">
      <c r="A20" s="6" t="s">
        <v>137</v>
      </c>
      <c r="I20" s="36" t="n">
        <f aca="false">I16+I17-I18-I19</f>
        <v>1517.5846875</v>
      </c>
      <c r="J20" s="36" t="n">
        <f aca="false">J16+J17-J18-J19</f>
        <v>3000.3395625</v>
      </c>
      <c r="K20" s="36" t="n">
        <f aca="false">K16+K17-K18-K19</f>
        <v>4742.32775625</v>
      </c>
      <c r="L20" s="36" t="n">
        <f aca="false">L16+L17-L18-L19</f>
        <v>6686.9508234375</v>
      </c>
      <c r="M20" s="36" t="n">
        <f aca="false">M16+M17-M18-M19</f>
        <v>8221.6110753</v>
      </c>
    </row>
  </sheetData>
  <mergeCells count="2">
    <mergeCell ref="A1:M1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8" hidden="false" customHeight="true" outlineLevel="0" collapsed="false">
      <c r="A3" s="8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35</v>
      </c>
      <c r="J3" s="22" t="s">
        <v>36</v>
      </c>
      <c r="K3" s="22" t="s">
        <v>37</v>
      </c>
      <c r="L3" s="22" t="s">
        <v>38</v>
      </c>
      <c r="M3" s="22" t="s">
        <v>39</v>
      </c>
    </row>
    <row r="5" customFormat="false" ht="15" hidden="false" customHeight="false" outlineLevel="0" collapsed="false">
      <c r="A5" s="4" t="s">
        <v>139</v>
      </c>
      <c r="C5" s="25" t="n">
        <f aca="false">'Income Statement'!C6</f>
        <v>-0.0215430861723447</v>
      </c>
      <c r="D5" s="25" t="n">
        <f aca="false">'Income Statement'!D6</f>
        <v>0.461341525857655</v>
      </c>
      <c r="E5" s="25" t="n">
        <f aca="false">'Income Statement'!E6</f>
        <v>1.36545199719692</v>
      </c>
      <c r="F5" s="25" t="n">
        <f aca="false">'Income Statement'!F6</f>
        <v>0.688342467782551</v>
      </c>
      <c r="G5" s="25" t="n">
        <f aca="false">'Income Statement'!G6</f>
        <v>0.267239866643271</v>
      </c>
      <c r="H5" s="25" t="n">
        <f aca="false">'Income Statement'!H6</f>
        <v>0.837233453337026</v>
      </c>
      <c r="I5" s="25" t="n">
        <f aca="false">'Income Statement'!I6</f>
        <v>0.35</v>
      </c>
      <c r="J5" s="25" t="n">
        <f aca="false">'Income Statement'!J6</f>
        <v>0.25</v>
      </c>
      <c r="K5" s="25" t="n">
        <f aca="false">'Income Statement'!K6</f>
        <v>0.2</v>
      </c>
      <c r="L5" s="25" t="n">
        <f aca="false">'Income Statement'!L6</f>
        <v>0.15</v>
      </c>
      <c r="M5" s="25" t="n">
        <f aca="false">'Income Statement'!M6</f>
        <v>0.12</v>
      </c>
    </row>
    <row r="6" customFormat="false" ht="15" hidden="false" customHeight="false" outlineLevel="0" collapsed="false">
      <c r="A6" s="4" t="s">
        <v>140</v>
      </c>
      <c r="B6" s="25" t="n">
        <f aca="false">'Income Statement'!B8</f>
        <v>0.0465931863727455</v>
      </c>
      <c r="C6" s="25" t="n">
        <f aca="false">'Income Statement'!C8</f>
        <v>0.0435227854582693</v>
      </c>
      <c r="D6" s="25" t="n">
        <f aca="false">'Income Statement'!D8</f>
        <v>0.0371408549404345</v>
      </c>
      <c r="E6" s="25" t="n">
        <f aca="false">'Income Statement'!E8</f>
        <v>0.123833506147237</v>
      </c>
      <c r="F6" s="25" t="n">
        <f aca="false">'Income Statement'!F8</f>
        <v>0.138094402526759</v>
      </c>
      <c r="G6" s="25" t="n">
        <f aca="false">'Income Statement'!G8</f>
        <v>0.188451952367765</v>
      </c>
      <c r="H6" s="25" t="n">
        <f aca="false">'Income Statement'!H8</f>
        <v>0.222670234012888</v>
      </c>
      <c r="I6" s="25" t="n">
        <f aca="false">'Income Statement'!I8</f>
        <v>0.2</v>
      </c>
      <c r="J6" s="25" t="n">
        <f aca="false">'Income Statement'!J8</f>
        <v>0.205</v>
      </c>
      <c r="K6" s="25" t="n">
        <f aca="false">'Income Statement'!K8</f>
        <v>0.21</v>
      </c>
      <c r="L6" s="25" t="n">
        <f aca="false">'Income Statement'!L8</f>
        <v>0.215</v>
      </c>
      <c r="M6" s="25" t="n">
        <f aca="false">'Income Statement'!M8</f>
        <v>0.22</v>
      </c>
    </row>
    <row r="7" customFormat="false" ht="15" hidden="false" customHeight="false" outlineLevel="0" collapsed="false">
      <c r="A7" s="4" t="s">
        <v>141</v>
      </c>
      <c r="B7" s="25" t="n">
        <f aca="false">'Income Statement'!B17</f>
        <v>0.0197044088176353</v>
      </c>
      <c r="C7" s="25" t="n">
        <f aca="false">'Income Statement'!C17</f>
        <v>0.0247311827956989</v>
      </c>
      <c r="D7" s="25" t="n">
        <f aca="false">'Income Statement'!D17</f>
        <v>0.0279362298528381</v>
      </c>
      <c r="E7" s="25" t="n">
        <f aca="false">'Income Statement'!E17</f>
        <v>0.0743178788327655</v>
      </c>
      <c r="F7" s="25" t="n">
        <f aca="false">'Income Statement'!F17</f>
        <v>0.110992279347254</v>
      </c>
      <c r="G7" s="25" t="n">
        <f aca="false">'Income Statement'!G17</f>
        <v>0.133238715037386</v>
      </c>
      <c r="H7" s="25" t="n">
        <f aca="false">'Income Statement'!H17</f>
        <v>0.14658929042469</v>
      </c>
      <c r="I7" s="25" t="n">
        <f aca="false">'Income Statement'!I17</f>
        <v>0.110022511210762</v>
      </c>
      <c r="J7" s="25" t="n">
        <f aca="false">'Income Statement'!J17</f>
        <v>0.11416375896861</v>
      </c>
      <c r="K7" s="25" t="n">
        <f aca="false">'Income Statement'!K17</f>
        <v>0.119632090807175</v>
      </c>
      <c r="L7" s="25" t="n">
        <f aca="false">'Income Statement'!L17</f>
        <v>0.125713502875804</v>
      </c>
      <c r="M7" s="25" t="n">
        <f aca="false">'Income Statement'!M17</f>
        <v>0.130985225781968</v>
      </c>
    </row>
    <row r="8" customFormat="false" ht="15" hidden="false" customHeight="false" outlineLevel="0" collapsed="false">
      <c r="A8" s="4" t="s">
        <v>142</v>
      </c>
      <c r="C8" s="25" t="n">
        <f aca="false">'Income Statement'!C16/AVERAGE('Balance Sheet'!B7:C7)</f>
        <v>0.150233281493002</v>
      </c>
      <c r="D8" s="25" t="n">
        <f aca="false">'Income Statement'!D16/AVERAGE('Balance Sheet'!C7:D7)</f>
        <v>0.206287192755498</v>
      </c>
      <c r="E8" s="25" t="n">
        <f aca="false">'Income Statement'!E16/AVERAGE('Balance Sheet'!D7:E7)</f>
        <v>0.442824360105914</v>
      </c>
      <c r="F8" s="25" t="n">
        <f aca="false">'Income Statement'!F16/AVERAGE('Balance Sheet'!E7:F7)</f>
        <v>0.426962537968275</v>
      </c>
      <c r="G8" s="25" t="n">
        <f aca="false">'Income Statement'!G16/AVERAGE('Balance Sheet'!F7:G7)</f>
        <v>0.28370310311786</v>
      </c>
      <c r="H8" s="25" t="n">
        <f aca="false">'Income Statement'!H16/AVERAGE('Balance Sheet'!G7:H7)</f>
        <v>0.325294978467199</v>
      </c>
      <c r="I8" s="25" t="n">
        <f aca="false">'Income Statement'!I16/AVERAGE('Balance Sheet'!H7:I7)</f>
        <v>0.240788336854549</v>
      </c>
      <c r="J8" s="25" t="n">
        <f aca="false">'Income Statement'!J16/AVERAGE('Balance Sheet'!I7:J7)</f>
        <v>0.245719513491503</v>
      </c>
      <c r="K8" s="25" t="n">
        <f aca="false">'Income Statement'!K16/AVERAGE('Balance Sheet'!J7:K7)</f>
        <v>0.242951383655517</v>
      </c>
      <c r="L8" s="25" t="n">
        <f aca="false">'Income Statement'!L16/AVERAGE('Balance Sheet'!K7:L7)</f>
        <v>0.232476743003196</v>
      </c>
      <c r="M8" s="25" t="n">
        <f aca="false">'Income Statement'!M16/AVERAGE('Balance Sheet'!L7:M7)</f>
        <v>0.217582902773739</v>
      </c>
    </row>
    <row r="9" customFormat="false" ht="15" hidden="false" customHeight="false" outlineLevel="0" collapsed="false">
      <c r="A9" s="4" t="s">
        <v>143</v>
      </c>
      <c r="C9" s="25" t="n">
        <f aca="false">'Income Statement'!C10/((('Balance Sheet'!B7+'Balance Sheet'!B8)+('Balance Sheet'!C7+'Balance Sheet'!C8))/2)</f>
        <v>0.0982456140350877</v>
      </c>
      <c r="D9" s="25" t="n">
        <f aca="false">'Income Statement'!D10/((('Balance Sheet'!C7+'Balance Sheet'!C8)+('Balance Sheet'!D7+'Balance Sheet'!D8))/2)</f>
        <v>0.0853658536585366</v>
      </c>
      <c r="E9" s="25" t="n">
        <f aca="false">'Income Statement'!E10/((('Balance Sheet'!D7+'Balance Sheet'!D8)+('Balance Sheet'!E7+'Balance Sheet'!E8))/2)</f>
        <v>0.455747711088505</v>
      </c>
      <c r="F9" s="25" t="n">
        <f aca="false">'Income Statement'!F10/((('Balance Sheet'!E7+'Balance Sheet'!E8)+('Balance Sheet'!F7+'Balance Sheet'!F8))/2)</f>
        <v>0.381526695102221</v>
      </c>
      <c r="G9" s="25" t="n">
        <f aca="false">'Income Statement'!G10/((('Balance Sheet'!F7+'Balance Sheet'!F8)+('Balance Sheet'!G7+'Balance Sheet'!G8))/2)</f>
        <v>0.302891833670605</v>
      </c>
      <c r="H9" s="25" t="n">
        <f aca="false">'Income Statement'!H10/((('Balance Sheet'!G7+'Balance Sheet'!G8)+('Balance Sheet'!H7+'Balance Sheet'!H8))/2)</f>
        <v>0.34727664231</v>
      </c>
      <c r="I9" s="25" t="n">
        <f aca="false">'Income Statement'!I10/((('Balance Sheet'!H7+'Balance Sheet'!H8)+('Balance Sheet'!I7+'Balance Sheet'!I8))/2)</f>
        <v>0.279474485310324</v>
      </c>
      <c r="J9" s="25" t="n">
        <f aca="false">'Income Statement'!J10/((('Balance Sheet'!I7+'Balance Sheet'!I8)+('Balance Sheet'!J7+'Balance Sheet'!J8))/2)</f>
        <v>0.287687543179752</v>
      </c>
      <c r="K9" s="25" t="n">
        <f aca="false">'Income Statement'!K10/((('Balance Sheet'!J7+'Balance Sheet'!J8)+('Balance Sheet'!K7+'Balance Sheet'!K8))/2)</f>
        <v>0.287665334820071</v>
      </c>
      <c r="L9" s="25" t="n">
        <f aca="false">'Income Statement'!L10/((('Balance Sheet'!K7+'Balance Sheet'!K8)+('Balance Sheet'!L7+'Balance Sheet'!L8))/2)</f>
        <v>0.278838095533205</v>
      </c>
      <c r="M9" s="25" t="n">
        <f aca="false">'Income Statement'!M10/((('Balance Sheet'!L7+'Balance Sheet'!L8)+('Balance Sheet'!M7+'Balance Sheet'!M8))/2)</f>
        <v>0.264339808169474</v>
      </c>
    </row>
    <row r="10" customFormat="false" ht="15" hidden="false" customHeight="false" outlineLevel="0" collapsed="false">
      <c r="A10" s="4" t="s">
        <v>144</v>
      </c>
      <c r="B10" s="37" t="n">
        <f aca="false">'Balance Sheet'!B8/'Balance Sheet'!B7</f>
        <v>0.526845637583893</v>
      </c>
      <c r="C10" s="37" t="n">
        <f aca="false">'Balance Sheet'!C8/'Balance Sheet'!C7</f>
        <v>0.985507246376812</v>
      </c>
      <c r="D10" s="37" t="n">
        <f aca="false">'Balance Sheet'!D8/'Balance Sheet'!D7</f>
        <v>0.848130841121495</v>
      </c>
      <c r="E10" s="37" t="n">
        <f aca="false">'Balance Sheet'!E8/'Balance Sheet'!E7</f>
        <v>0.174102285092492</v>
      </c>
      <c r="F10" s="37" t="n">
        <f aca="false">'Balance Sheet'!F8/'Balance Sheet'!F7</f>
        <v>0.13527397260274</v>
      </c>
      <c r="G10" s="37" t="n">
        <f aca="false">'Balance Sheet'!G8/'Balance Sheet'!G7</f>
        <v>0.126490136090305</v>
      </c>
      <c r="H10" s="37" t="n">
        <f aca="false">'Balance Sheet'!H8/'Balance Sheet'!H7</f>
        <v>0.222537747610472</v>
      </c>
      <c r="I10" s="37" t="n">
        <f aca="false">'Balance Sheet'!I8/'Balance Sheet'!I7</f>
        <v>0.20688799192816</v>
      </c>
      <c r="J10" s="37" t="n">
        <f aca="false">'Balance Sheet'!J8/'Balance Sheet'!J7</f>
        <v>0.189316724525449</v>
      </c>
      <c r="K10" s="37" t="n">
        <f aca="false">'Balance Sheet'!K8/'Balance Sheet'!K7</f>
        <v>0.170814350599565</v>
      </c>
      <c r="L10" s="37" t="n">
        <f aca="false">'Balance Sheet'!L8/'Balance Sheet'!L7</f>
        <v>0.152479379930226</v>
      </c>
      <c r="M10" s="37" t="n">
        <f aca="false">'Balance Sheet'!M8/'Balance Sheet'!M7</f>
        <v>0.136608251925581</v>
      </c>
    </row>
    <row r="11" customFormat="false" ht="15" hidden="false" customHeight="false" outlineLevel="0" collapsed="false">
      <c r="A11" s="4" t="s">
        <v>145</v>
      </c>
      <c r="B11" s="37" t="n">
        <f aca="false">'Income Statement'!B10/'Income Statement'!B12</f>
        <v>1.94117647058824</v>
      </c>
      <c r="C11" s="37" t="n">
        <f aca="false">'Income Statement'!C10/'Income Statement'!C12</f>
        <v>1.80645161290323</v>
      </c>
      <c r="D11" s="37" t="n">
        <f aca="false">'Income Statement'!D10/'Income Statement'!D12</f>
        <v>1.53658536585366</v>
      </c>
      <c r="E11" s="37" t="n">
        <f aca="false">'Income Statement'!E10/'Income Statement'!E12</f>
        <v>8.19512195121951</v>
      </c>
      <c r="F11" s="37" t="n">
        <f aca="false">'Income Statement'!F10/'Income Statement'!F12</f>
        <v>9.26428571428571</v>
      </c>
      <c r="G11" s="37" t="n">
        <f aca="false">'Income Statement'!G10/'Income Statement'!G12</f>
        <v>15.2631578947368</v>
      </c>
      <c r="H11" s="37" t="n">
        <f aca="false">'Income Statement'!H10/'Income Statement'!H12</f>
        <v>17.5678571428571</v>
      </c>
      <c r="I11" s="37" t="n">
        <f aca="false">'Income Statement'!I10/'Income Statement'!I12</f>
        <v>18.6672355317448</v>
      </c>
      <c r="J11" s="37" t="n">
        <f aca="false">'Income Statement'!J10/'Income Statement'!J12</f>
        <v>20.5611795939513</v>
      </c>
      <c r="K11" s="37" t="n">
        <f aca="false">'Income Statement'!K10/'Income Statement'!K12</f>
        <v>22.2947711863984</v>
      </c>
      <c r="L11" s="37" t="n">
        <f aca="false">'Income Statement'!L10/'Income Statement'!L12</f>
        <v>23.7063249660887</v>
      </c>
      <c r="M11" s="37" t="n">
        <f aca="false">'Income Statement'!M10/'Income Statement'!M12</f>
        <v>24.7516932884903</v>
      </c>
    </row>
    <row r="12" customFormat="false" ht="15" hidden="false" customHeight="false" outlineLevel="0" collapsed="false">
      <c r="A12" s="4" t="s">
        <v>146</v>
      </c>
      <c r="B12" s="37" t="n">
        <f aca="false">'Income Statement'!B5/'Balance Sheet'!B18</f>
        <v>2.12793176972281</v>
      </c>
      <c r="C12" s="37" t="n">
        <f aca="false">'Income Statement'!C5/'Balance Sheet'!C18</f>
        <v>1.52459016393443</v>
      </c>
      <c r="D12" s="37" t="n">
        <f aca="false">'Income Statement'!D5/'Balance Sheet'!D18</f>
        <v>1.32497678737233</v>
      </c>
      <c r="E12" s="37" t="n">
        <f aca="false">'Income Statement'!E5/'Balance Sheet'!E18</f>
        <v>0.911681296421337</v>
      </c>
      <c r="F12" s="37" t="n">
        <f aca="false">'Income Statement'!F5/'Balance Sheet'!F18</f>
        <v>1.01081943951756</v>
      </c>
      <c r="G12" s="37" t="n">
        <f aca="false">'Income Statement'!G5/'Balance Sheet'!G18</f>
        <v>0.732974728509084</v>
      </c>
      <c r="H12" s="37" t="n">
        <f aca="false">'Income Statement'!H5/'Balance Sheet'!H18</f>
        <v>0.881159516536061</v>
      </c>
      <c r="I12" s="37" t="n">
        <f aca="false">'Income Statement'!I5/'Balance Sheet'!I18</f>
        <v>0.920602713276903</v>
      </c>
      <c r="J12" s="37" t="n">
        <f aca="false">'Income Statement'!J5/'Balance Sheet'!J18</f>
        <v>0.918424855861078</v>
      </c>
      <c r="K12" s="37" t="n">
        <f aca="false">'Income Statement'!K5/'Balance Sheet'!K18</f>
        <v>0.896959967886422</v>
      </c>
      <c r="L12" s="37" t="n">
        <f aca="false">'Income Statement'!L5/'Balance Sheet'!L18</f>
        <v>0.85916153237713</v>
      </c>
      <c r="M12" s="37" t="n">
        <f aca="false">'Income Statement'!M5/'Balance Sheet'!M18</f>
        <v>0.815054375964872</v>
      </c>
    </row>
    <row r="13" customFormat="false" ht="15" hidden="false" customHeight="false" outlineLevel="0" collapsed="false">
      <c r="A13" s="4" t="s">
        <v>91</v>
      </c>
      <c r="B13" s="30" t="n">
        <f aca="false">'Income Statement'!B18</f>
        <v>2.12</v>
      </c>
      <c r="C13" s="30" t="n">
        <f aca="false">'Income Statement'!C18</f>
        <v>2.5</v>
      </c>
      <c r="D13" s="30" t="n">
        <f aca="false">'Income Statement'!D18</f>
        <v>3.84</v>
      </c>
      <c r="E13" s="30" t="n">
        <f aca="false">'Income Statement'!E18</f>
        <v>24.49</v>
      </c>
      <c r="F13" s="30" t="n">
        <f aca="false">'Income Statement'!F18</f>
        <v>62.76</v>
      </c>
      <c r="G13" s="30" t="n">
        <f aca="false">'Income Statement'!G18</f>
        <v>65</v>
      </c>
      <c r="H13" s="30" t="n">
        <f aca="false">'Income Statement'!H18</f>
        <v>129.02</v>
      </c>
      <c r="I13" s="30" t="n">
        <f aca="false">'Income Statement'!I18</f>
        <v>130.948536976744</v>
      </c>
      <c r="J13" s="30" t="n">
        <f aca="false">'Income Statement'!J18</f>
        <v>169.846800534157</v>
      </c>
      <c r="K13" s="30" t="n">
        <f aca="false">'Income Statement'!K18</f>
        <v>213.578754396802</v>
      </c>
      <c r="L13" s="30" t="n">
        <f aca="false">'Income Statement'!L18</f>
        <v>258.101259871003</v>
      </c>
      <c r="M13" s="30" t="n">
        <f aca="false">'Income Statement'!M18</f>
        <v>301.195537062384</v>
      </c>
    </row>
    <row r="15" customFormat="false" ht="22.35" hidden="false" customHeight="true" outlineLevel="0" collapsed="false">
      <c r="A15" s="11" t="s">
        <v>147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mergeCells count="2">
    <mergeCell ref="A1:M1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8" t="s">
        <v>94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</row>
    <row r="4" customFormat="false" ht="15" hidden="false" customHeight="false" outlineLevel="0" collapsed="false">
      <c r="A4" s="4" t="s">
        <v>137</v>
      </c>
      <c r="I4" s="35" t="n">
        <f aca="false">'Cash Flow'!I20</f>
        <v>1517.5846875</v>
      </c>
      <c r="J4" s="35" t="n">
        <f aca="false">'Cash Flow'!J20</f>
        <v>3000.3395625</v>
      </c>
      <c r="K4" s="35" t="n">
        <f aca="false">'Cash Flow'!K20</f>
        <v>4742.32775625</v>
      </c>
      <c r="L4" s="35" t="n">
        <f aca="false">'Cash Flow'!L20</f>
        <v>6686.9508234375</v>
      </c>
      <c r="M4" s="35" t="n">
        <f aca="false">'Cash Flow'!M20</f>
        <v>8221.6110753</v>
      </c>
    </row>
    <row r="5" customFormat="false" ht="15" hidden="false" customHeight="false" outlineLevel="0" collapsed="false">
      <c r="A5" s="4" t="s">
        <v>149</v>
      </c>
      <c r="I5" s="38" t="n">
        <f aca="false">COLUMN(I5)-COLUMN($H$5)</f>
        <v>1</v>
      </c>
      <c r="J5" s="38" t="n">
        <f aca="false">COLUMN(J5)-COLUMN($H$5)</f>
        <v>2</v>
      </c>
      <c r="K5" s="38" t="n">
        <f aca="false">COLUMN(K5)-COLUMN($H$5)</f>
        <v>3</v>
      </c>
      <c r="L5" s="38" t="n">
        <f aca="false">COLUMN(L5)-COLUMN($H$5)</f>
        <v>4</v>
      </c>
      <c r="M5" s="38" t="n">
        <f aca="false">COLUMN(M5)-COLUMN($H$5)</f>
        <v>5</v>
      </c>
    </row>
    <row r="6" customFormat="false" ht="15" hidden="false" customHeight="false" outlineLevel="0" collapsed="false">
      <c r="A6" s="4" t="s">
        <v>150</v>
      </c>
      <c r="I6" s="39" t="n">
        <f aca="false">1/(1+Assumptions!$B$28)^I5</f>
        <v>0.879012948995127</v>
      </c>
      <c r="J6" s="39" t="n">
        <f aca="false">1/(1+Assumptions!$B$28)^J5</f>
        <v>0.772663764501109</v>
      </c>
      <c r="K6" s="39" t="n">
        <f aca="false">1/(1+Assumptions!$B$28)^K5</f>
        <v>0.679181454215796</v>
      </c>
      <c r="L6" s="39" t="n">
        <f aca="false">1/(1+Assumptions!$B$28)^L5</f>
        <v>0.597009292973025</v>
      </c>
      <c r="M6" s="39" t="n">
        <f aca="false">1/(1+Assumptions!$B$28)^M5</f>
        <v>0.524778899193715</v>
      </c>
    </row>
    <row r="7" customFormat="false" ht="15" hidden="false" customHeight="false" outlineLevel="0" collapsed="false">
      <c r="A7" s="6" t="s">
        <v>151</v>
      </c>
      <c r="I7" s="26" t="n">
        <f aca="false">I4*I6</f>
        <v>1333.97659150922</v>
      </c>
      <c r="J7" s="26" t="n">
        <f aca="false">J4*J6</f>
        <v>2318.25366114286</v>
      </c>
      <c r="K7" s="26" t="n">
        <f aca="false">K4*K6</f>
        <v>3220.90106185781</v>
      </c>
      <c r="L7" s="26" t="n">
        <f aca="false">L4*L6</f>
        <v>3992.17178324581</v>
      </c>
      <c r="M7" s="26" t="n">
        <f aca="false">M4*M6</f>
        <v>4314.52800969478</v>
      </c>
    </row>
    <row r="9" customFormat="false" ht="15" hidden="false" customHeight="false" outlineLevel="0" collapsed="false">
      <c r="A9" s="6" t="s">
        <v>152</v>
      </c>
      <c r="B9" s="40" t="n">
        <f aca="false">SUM(I7:M7)</f>
        <v>15179.8311074505</v>
      </c>
    </row>
    <row r="11" customFormat="false" ht="15" hidden="false" customHeight="false" outlineLevel="0" collapsed="false">
      <c r="A11" s="6" t="s">
        <v>153</v>
      </c>
      <c r="B11" s="18" t="n">
        <f aca="false">M4*(1+Assumptions!$B$29)/(Assumptions!$B$28-Assumptions!$B$29)</f>
        <v>98502.1025962202</v>
      </c>
    </row>
    <row r="12" customFormat="false" ht="15" hidden="false" customHeight="false" outlineLevel="0" collapsed="false">
      <c r="A12" s="4" t="s">
        <v>154</v>
      </c>
      <c r="B12" s="18" t="n">
        <f aca="false">B11*M6</f>
        <v>51691.8249687108</v>
      </c>
    </row>
    <row r="13" customFormat="false" ht="15" hidden="false" customHeight="false" outlineLevel="0" collapsed="false">
      <c r="A13" s="4" t="s">
        <v>155</v>
      </c>
      <c r="B13" s="16" t="n">
        <f aca="false">B12/(B9+B12)</f>
        <v>0.773000520726421</v>
      </c>
    </row>
    <row r="15" customFormat="false" ht="15" hidden="false" customHeight="false" outlineLevel="0" collapsed="false">
      <c r="A15" s="6" t="s">
        <v>156</v>
      </c>
      <c r="B15" s="41" t="n">
        <f aca="false">B9+B12</f>
        <v>66871.6560761613</v>
      </c>
    </row>
    <row r="16" customFormat="false" ht="15" hidden="false" customHeight="false" outlineLevel="0" collapsed="false">
      <c r="A16" s="4" t="s">
        <v>157</v>
      </c>
      <c r="B16" s="32" t="n">
        <f aca="false">Assumptions!B33</f>
        <v>2260</v>
      </c>
    </row>
    <row r="17" customFormat="false" ht="15" hidden="false" customHeight="false" outlineLevel="0" collapsed="false">
      <c r="A17" s="6" t="s">
        <v>158</v>
      </c>
      <c r="B17" s="40" t="n">
        <f aca="false">B15-B16</f>
        <v>64611.6560761613</v>
      </c>
    </row>
    <row r="18" customFormat="false" ht="15" hidden="false" customHeight="false" outlineLevel="0" collapsed="false">
      <c r="A18" s="4" t="s">
        <v>159</v>
      </c>
      <c r="B18" s="42" t="n">
        <f aca="false">Assumptions!B34</f>
        <v>30.1</v>
      </c>
    </row>
    <row r="19" customFormat="false" ht="15" hidden="false" customHeight="false" outlineLevel="0" collapsed="false">
      <c r="A19" s="6" t="s">
        <v>160</v>
      </c>
      <c r="B19" s="43" t="n">
        <f aca="false">B17/B18</f>
        <v>2146.56664704855</v>
      </c>
    </row>
    <row r="21" customFormat="false" ht="15" hidden="false" customHeight="false" outlineLevel="0" collapsed="false">
      <c r="A21" s="4" t="s">
        <v>161</v>
      </c>
      <c r="B21" s="44" t="n">
        <f aca="false">Assumptions!B35</f>
        <v>2886</v>
      </c>
    </row>
    <row r="22" customFormat="false" ht="15" hidden="false" customHeight="false" outlineLevel="0" collapsed="false">
      <c r="A22" s="6" t="s">
        <v>162</v>
      </c>
      <c r="B22" s="45" t="n">
        <f aca="false">B19/B21-1</f>
        <v>-0.256213913011592</v>
      </c>
    </row>
    <row r="24" customFormat="false" ht="22.35" hidden="false" customHeight="true" outlineLevel="0" collapsed="false">
      <c r="A24" s="11" t="s">
        <v>163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</sheetData>
  <mergeCells count="2">
    <mergeCell ref="A1:M1"/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3"/>
    <col collapsed="false" customWidth="true" hidden="false" outlineLevel="0" max="13" min="8" style="0" width="11"/>
  </cols>
  <sheetData>
    <row r="1" customFormat="false" ht="25.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8" t="s">
        <v>165</v>
      </c>
    </row>
    <row r="4" customFormat="false" ht="15" hidden="false" customHeight="false" outlineLevel="0" collapsed="false">
      <c r="A4" s="6" t="s">
        <v>166</v>
      </c>
      <c r="B4" s="6" t="s">
        <v>167</v>
      </c>
      <c r="C4" s="46" t="n">
        <v>0.03</v>
      </c>
      <c r="D4" s="46" t="n">
        <v>0.04</v>
      </c>
      <c r="E4" s="46" t="n">
        <v>0.05</v>
      </c>
      <c r="F4" s="46" t="n">
        <v>0.06</v>
      </c>
      <c r="G4" s="46" t="n">
        <v>0.07</v>
      </c>
    </row>
    <row r="5" customFormat="false" ht="15" hidden="false" customHeight="false" outlineLevel="0" collapsed="false">
      <c r="A5" s="4"/>
      <c r="B5" s="13" t="n">
        <v>0.118</v>
      </c>
      <c r="C5" s="47" t="n">
        <f aca="false">IFERROR((SUMPRODUCT('Cash Flow'!$I$20:$M$20,1/(1+$B5)^(COLUMN('Cash Flow'!$I$20:$M$20)-COLUMN('Cash Flow'!$I$20)+1))+('Cash Flow'!$M$20*(1+C$4))/($B5-C$4)/(1+$B5)^5-Assumptions!$B$33)/Assumptions!$B$34,"n/a")</f>
        <v>2291.4434056769</v>
      </c>
      <c r="D5" s="47" t="n">
        <f aca="false">IFERROR((SUMPRODUCT('Cash Flow'!$I$20:$M$20,1/(1+$B5)^(COLUMN('Cash Flow'!$I$20:$M$20)-COLUMN('Cash Flow'!$I$20)+1))+('Cash Flow'!$M$20*(1+D$4))/($B5-D$4)/(1+$B5)^5-Assumptions!$B$33)/Assumptions!$B$34,"n/a")</f>
        <v>2546.15337522336</v>
      </c>
      <c r="E5" s="47" t="n">
        <f aca="false">IFERROR((SUMPRODUCT('Cash Flow'!$I$20:$M$20,1/(1+$B5)^(COLUMN('Cash Flow'!$I$20:$M$20)-COLUMN('Cash Flow'!$I$20)+1))+('Cash Flow'!$M$20*(1+E$4))/($B5-E$4)/(1+$B5)^5-Assumptions!$B$33)/Assumptions!$B$34,"n/a")</f>
        <v>2875.77804169525</v>
      </c>
      <c r="F5" s="47" t="n">
        <f aca="false">IFERROR((SUMPRODUCT('Cash Flow'!$I$20:$M$20,1/(1+$B5)^(COLUMN('Cash Flow'!$I$20:$M$20)-COLUMN('Cash Flow'!$I$20)+1))+('Cash Flow'!$M$20*(1+F$4))/($B5-F$4)/(1+$B5)^5-Assumptions!$B$33)/Assumptions!$B$34,"n/a")</f>
        <v>3319.06638626089</v>
      </c>
      <c r="G5" s="47" t="n">
        <f aca="false">IFERROR((SUMPRODUCT('Cash Flow'!$I$20:$M$20,1/(1+$B5)^(COLUMN('Cash Flow'!$I$20:$M$20)-COLUMN('Cash Flow'!$I$20)+1))+('Cash Flow'!$M$20*(1+G$4))/($B5-G$4)/(1+$B5)^5-Assumptions!$B$33)/Assumptions!$B$34,"n/a")</f>
        <v>3947.05820772888</v>
      </c>
    </row>
    <row r="6" customFormat="false" ht="15" hidden="false" customHeight="false" outlineLevel="0" collapsed="false">
      <c r="A6" s="4"/>
      <c r="B6" s="13" t="n">
        <v>0.128</v>
      </c>
      <c r="C6" s="47" t="n">
        <f aca="false">IFERROR((SUMPRODUCT('Cash Flow'!$I$20:$M$20,1/(1+$B6)^(COLUMN('Cash Flow'!$I$20:$M$20)-COLUMN('Cash Flow'!$I$20)+1))+('Cash Flow'!$M$20*(1+C$4))/($B6-C$4)/(1+$B6)^5-Assumptions!$B$33)/Assumptions!$B$34,"n/a")</f>
        <v>2016.53323385633</v>
      </c>
      <c r="D6" s="47" t="n">
        <f aca="false">IFERROR((SUMPRODUCT('Cash Flow'!$I$20:$M$20,1/(1+$B6)^(COLUMN('Cash Flow'!$I$20:$M$20)-COLUMN('Cash Flow'!$I$20)+1))+('Cash Flow'!$M$20*(1+D$4))/($B6-D$4)/(1+$B6)^5-Assumptions!$B$33)/Assumptions!$B$34,"n/a")</f>
        <v>2212.16766259869</v>
      </c>
      <c r="E6" s="47" t="n">
        <f aca="false">IFERROR((SUMPRODUCT('Cash Flow'!$I$20:$M$20,1/(1+$B6)^(COLUMN('Cash Flow'!$I$20:$M$20)-COLUMN('Cash Flow'!$I$20)+1))+('Cash Flow'!$M$20*(1+E$4))/($B6-E$4)/(1+$B6)^5-Assumptions!$B$33)/Assumptions!$B$34,"n/a")</f>
        <v>2457.96476537756</v>
      </c>
      <c r="F6" s="47" t="n">
        <f aca="false">IFERROR((SUMPRODUCT('Cash Flow'!$I$20:$M$20,1/(1+$B6)^(COLUMN('Cash Flow'!$I$20:$M$20)-COLUMN('Cash Flow'!$I$20)+1))+('Cash Flow'!$M$20*(1+F$4))/($B6-F$4)/(1+$B6)^5-Assumptions!$B$33)/Assumptions!$B$34,"n/a")</f>
        <v>2776.05513367962</v>
      </c>
      <c r="G6" s="47" t="n">
        <f aca="false">IFERROR((SUMPRODUCT('Cash Flow'!$I$20:$M$20,1/(1+$B6)^(COLUMN('Cash Flow'!$I$20:$M$20)-COLUMN('Cash Flow'!$I$20)+1))+('Cash Flow'!$M$20*(1+G$4))/($B6-G$4)/(1+$B6)^5-Assumptions!$B$33)/Assumptions!$B$34,"n/a")</f>
        <v>3203.83183587894</v>
      </c>
    </row>
    <row r="7" customFormat="false" ht="15" hidden="false" customHeight="false" outlineLevel="0" collapsed="false">
      <c r="A7" s="4"/>
      <c r="B7" s="13" t="n">
        <v>0.138</v>
      </c>
      <c r="C7" s="47" t="n">
        <f aca="false">IFERROR((SUMPRODUCT('Cash Flow'!$I$20:$M$20,1/(1+$B7)^(COLUMN('Cash Flow'!$I$20:$M$20)-COLUMN('Cash Flow'!$I$20)+1))+('Cash Flow'!$M$20*(1+C$4))/($B7-C$4)/(1+$B7)^5-Assumptions!$B$33)/Assumptions!$B$34,"n/a")</f>
        <v>1793.54526332725</v>
      </c>
      <c r="D7" s="47" t="n">
        <f aca="false">IFERROR((SUMPRODUCT('Cash Flow'!$I$20:$M$20,1/(1+$B7)^(COLUMN('Cash Flow'!$I$20:$M$20)-COLUMN('Cash Flow'!$I$20)+1))+('Cash Flow'!$M$20*(1+D$4))/($B7-D$4)/(1+$B7)^5-Assumptions!$B$33)/Assumptions!$B$34,"n/a")</f>
        <v>1947.42149902744</v>
      </c>
      <c r="E7" s="47" t="n">
        <f aca="false">IFERROR((SUMPRODUCT('Cash Flow'!$I$20:$M$20,1/(1+$B7)^(COLUMN('Cash Flow'!$I$20:$M$20)-COLUMN('Cash Flow'!$I$20)+1))+('Cash Flow'!$M$20*(1+E$4))/($B7-E$4)/(1+$B7)^5-Assumptions!$B$33)/Assumptions!$B$34,"n/a")</f>
        <v>2136.26960647766</v>
      </c>
      <c r="F7" s="47" t="n">
        <f aca="false">IFERROR((SUMPRODUCT('Cash Flow'!$I$20:$M$20,1/(1+$B7)^(COLUMN('Cash Flow'!$I$20:$M$20)-COLUMN('Cash Flow'!$I$20)+1))+('Cash Flow'!$M$20*(1+F$4))/($B7-F$4)/(1+$B7)^5-Assumptions!$B$33)/Assumptions!$B$34,"n/a")</f>
        <v>2373.54030558179</v>
      </c>
      <c r="G7" s="47" t="n">
        <f aca="false">IFERROR((SUMPRODUCT('Cash Flow'!$I$20:$M$20,1/(1+$B7)^(COLUMN('Cash Flow'!$I$20:$M$20)-COLUMN('Cash Flow'!$I$20)+1))+('Cash Flow'!$M$20*(1+G$4))/($B7-G$4)/(1+$B7)^5-Assumptions!$B$33)/Assumptions!$B$34,"n/a")</f>
        <v>2680.59650442244</v>
      </c>
    </row>
    <row r="8" customFormat="false" ht="15" hidden="false" customHeight="false" outlineLevel="0" collapsed="false">
      <c r="A8" s="4"/>
      <c r="B8" s="13" t="n">
        <v>0.148</v>
      </c>
      <c r="C8" s="47" t="n">
        <f aca="false">IFERROR((SUMPRODUCT('Cash Flow'!$I$20:$M$20,1/(1+$B8)^(COLUMN('Cash Flow'!$I$20:$M$20)-COLUMN('Cash Flow'!$I$20)+1))+('Cash Flow'!$M$20*(1+C$4))/($B8-C$4)/(1+$B8)^5-Assumptions!$B$33)/Assumptions!$B$34,"n/a")</f>
        <v>1609.23826467525</v>
      </c>
      <c r="D8" s="47" t="n">
        <f aca="false">IFERROR((SUMPRODUCT('Cash Flow'!$I$20:$M$20,1/(1+$B8)^(COLUMN('Cash Flow'!$I$20:$M$20)-COLUMN('Cash Flow'!$I$20)+1))+('Cash Flow'!$M$20*(1+D$4))/($B8-D$4)/(1+$B8)^5-Assumptions!$B$33)/Assumptions!$B$34,"n/a")</f>
        <v>1732.63882108445</v>
      </c>
      <c r="E8" s="47" t="n">
        <f aca="false">IFERROR((SUMPRODUCT('Cash Flow'!$I$20:$M$20,1/(1+$B8)^(COLUMN('Cash Flow'!$I$20:$M$20)-COLUMN('Cash Flow'!$I$20)+1))+('Cash Flow'!$M$20*(1+E$4))/($B8-E$4)/(1+$B8)^5-Assumptions!$B$33)/Assumptions!$B$34,"n/a")</f>
        <v>1881.22316451594</v>
      </c>
      <c r="F8" s="47" t="n">
        <f aca="false">IFERROR((SUMPRODUCT('Cash Flow'!$I$20:$M$20,1/(1+$B8)^(COLUMN('Cash Flow'!$I$20:$M$20)-COLUMN('Cash Flow'!$I$20)+1))+('Cash Flow'!$M$20*(1+F$4))/($B8-F$4)/(1+$B8)^5-Assumptions!$B$33)/Assumptions!$B$34,"n/a")</f>
        <v>2063.57667690914</v>
      </c>
      <c r="G8" s="47" t="n">
        <f aca="false">IFERROR((SUMPRODUCT('Cash Flow'!$I$20:$M$20,1/(1+$B8)^(COLUMN('Cash Flow'!$I$20:$M$20)-COLUMN('Cash Flow'!$I$20)+1))+('Cash Flow'!$M$20*(1+G$4))/($B8-G$4)/(1+$B8)^5-Assumptions!$B$33)/Assumptions!$B$34,"n/a")</f>
        <v>2292.68750017238</v>
      </c>
    </row>
    <row r="9" customFormat="false" ht="15" hidden="false" customHeight="false" outlineLevel="0" collapsed="false">
      <c r="A9" s="4"/>
      <c r="B9" s="13" t="n">
        <v>0.158</v>
      </c>
      <c r="C9" s="47" t="n">
        <f aca="false">IFERROR((SUMPRODUCT('Cash Flow'!$I$20:$M$20,1/(1+$B9)^(COLUMN('Cash Flow'!$I$20:$M$20)-COLUMN('Cash Flow'!$I$20)+1))+('Cash Flow'!$M$20*(1+C$4))/($B9-C$4)/(1+$B9)^5-Assumptions!$B$33)/Assumptions!$B$34,"n/a")</f>
        <v>1454.51089346709</v>
      </c>
      <c r="D9" s="47" t="n">
        <f aca="false">IFERROR((SUMPRODUCT('Cash Flow'!$I$20:$M$20,1/(1+$B9)^(COLUMN('Cash Flow'!$I$20:$M$20)-COLUMN('Cash Flow'!$I$20)+1))+('Cash Flow'!$M$20*(1+D$4))/($B9-D$4)/(1+$B9)^5-Assumptions!$B$33)/Assumptions!$B$34,"n/a")</f>
        <v>1555.07991353632</v>
      </c>
      <c r="E9" s="47" t="n">
        <f aca="false">IFERROR((SUMPRODUCT('Cash Flow'!$I$20:$M$20,1/(1+$B9)^(COLUMN('Cash Flow'!$I$20:$M$20)-COLUMN('Cash Flow'!$I$20)+1))+('Cash Flow'!$M$20*(1+E$4))/($B9-E$4)/(1+$B9)^5-Assumptions!$B$33)/Assumptions!$B$34,"n/a")</f>
        <v>1674.27282621096</v>
      </c>
      <c r="F9" s="47" t="n">
        <f aca="false">IFERROR((SUMPRODUCT('Cash Flow'!$I$20:$M$20,1/(1+$B9)^(COLUMN('Cash Flow'!$I$20:$M$20)-COLUMN('Cash Flow'!$I$20)+1))+('Cash Flow'!$M$20*(1+F$4))/($B9-F$4)/(1+$B9)^5-Assumptions!$B$33)/Assumptions!$B$34,"n/a")</f>
        <v>1817.79082310492</v>
      </c>
      <c r="G9" s="47" t="n">
        <f aca="false">IFERROR((SUMPRODUCT('Cash Flow'!$I$20:$M$20,1/(1+$B9)^(COLUMN('Cash Flow'!$I$20:$M$20)-COLUMN('Cash Flow'!$I$20)+1))+('Cash Flow'!$M$20*(1+G$4))/($B9-G$4)/(1+$B9)^5-Assumptions!$B$33)/Assumptions!$B$34,"n/a")</f>
        <v>1993.92654656569</v>
      </c>
    </row>
    <row r="11" customFormat="false" ht="43.25" hidden="false" customHeight="true" outlineLevel="0" collapsed="false">
      <c r="A11" s="11" t="s">
        <v>168</v>
      </c>
      <c r="B11" s="11"/>
      <c r="C11" s="11"/>
      <c r="D11" s="11"/>
      <c r="E11" s="11"/>
      <c r="F11" s="11"/>
      <c r="G11" s="11"/>
    </row>
  </sheetData>
  <mergeCells count="2">
    <mergeCell ref="A1:M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8" t="s">
        <v>170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</row>
    <row r="4" customFormat="false" ht="15" hidden="false" customHeight="false" outlineLevel="0" collapsed="false">
      <c r="A4" s="4" t="s">
        <v>171</v>
      </c>
      <c r="B4" s="48" t="str">
        <f aca="false">IF(ABS('Balance Sheet'!B20)&lt;=1,"OK","CHECK")</f>
        <v>OK</v>
      </c>
      <c r="C4" s="48" t="str">
        <f aca="false">IF(ABS('Balance Sheet'!C20)&lt;=1,"OK","CHECK")</f>
        <v>OK</v>
      </c>
      <c r="D4" s="48" t="str">
        <f aca="false">IF(ABS('Balance Sheet'!D20)&lt;=1,"OK","CHECK")</f>
        <v>OK</v>
      </c>
      <c r="E4" s="48" t="str">
        <f aca="false">IF(ABS('Balance Sheet'!E20)&lt;=1,"OK","CHECK")</f>
        <v>OK</v>
      </c>
      <c r="F4" s="48" t="str">
        <f aca="false">IF(ABS('Balance Sheet'!F20)&lt;=1,"OK","CHECK")</f>
        <v>OK</v>
      </c>
      <c r="G4" s="48" t="str">
        <f aca="false">IF(ABS('Balance Sheet'!G20)&lt;=1,"OK","CHECK")</f>
        <v>OK</v>
      </c>
      <c r="H4" s="48" t="str">
        <f aca="false">IF(ABS('Balance Sheet'!H20)&lt;=1,"OK","CHECK")</f>
        <v>OK</v>
      </c>
      <c r="I4" s="48" t="str">
        <f aca="false">IF(ABS('Balance Sheet'!I20)&lt;=1,"OK","CHECK")</f>
        <v>OK</v>
      </c>
      <c r="J4" s="48" t="str">
        <f aca="false">IF(ABS('Balance Sheet'!J20)&lt;=1,"OK","CHECK")</f>
        <v>OK</v>
      </c>
      <c r="K4" s="48" t="str">
        <f aca="false">IF(ABS('Balance Sheet'!K20)&lt;=1,"OK","CHECK")</f>
        <v>OK</v>
      </c>
      <c r="L4" s="48" t="str">
        <f aca="false">IF(ABS('Balance Sheet'!L20)&lt;=1,"OK","CHECK")</f>
        <v>OK</v>
      </c>
      <c r="M4" s="48" t="str">
        <f aca="false">IF(ABS('Balance Sheet'!M20)&lt;=1,"OK","CHECK")</f>
        <v>OK</v>
      </c>
    </row>
    <row r="6" customFormat="false" ht="15" hidden="false" customHeight="false" outlineLevel="0" collapsed="false">
      <c r="A6" s="4" t="s">
        <v>172</v>
      </c>
      <c r="B6" s="48" t="str">
        <f aca="false">IF(AND('Income Statement'!B8&gt;=0,'Income Statement'!B8&lt;=1),"OK","CHECK")</f>
        <v>OK</v>
      </c>
      <c r="C6" s="48" t="str">
        <f aca="false">IF(AND('Income Statement'!C8&gt;=0,'Income Statement'!C8&lt;=1),"OK","CHECK")</f>
        <v>OK</v>
      </c>
      <c r="D6" s="48" t="str">
        <f aca="false">IF(AND('Income Statement'!D8&gt;=0,'Income Statement'!D8&lt;=1),"OK","CHECK")</f>
        <v>OK</v>
      </c>
      <c r="E6" s="48" t="str">
        <f aca="false">IF(AND('Income Statement'!E8&gt;=0,'Income Statement'!E8&lt;=1),"OK","CHECK")</f>
        <v>OK</v>
      </c>
      <c r="F6" s="48" t="str">
        <f aca="false">IF(AND('Income Statement'!F8&gt;=0,'Income Statement'!F8&lt;=1),"OK","CHECK")</f>
        <v>OK</v>
      </c>
      <c r="G6" s="48" t="str">
        <f aca="false">IF(AND('Income Statement'!G8&gt;=0,'Income Statement'!G8&lt;=1),"OK","CHECK")</f>
        <v>OK</v>
      </c>
      <c r="H6" s="48" t="str">
        <f aca="false">IF(AND('Income Statement'!H8&gt;=0,'Income Statement'!H8&lt;=1),"OK","CHECK")</f>
        <v>OK</v>
      </c>
      <c r="I6" s="48" t="str">
        <f aca="false">IF(AND('Income Statement'!I8&gt;=0,'Income Statement'!I8&lt;=1),"OK","CHECK")</f>
        <v>OK</v>
      </c>
      <c r="J6" s="48" t="str">
        <f aca="false">IF(AND('Income Statement'!J8&gt;=0,'Income Statement'!J8&lt;=1),"OK","CHECK")</f>
        <v>OK</v>
      </c>
      <c r="K6" s="48" t="str">
        <f aca="false">IF(AND('Income Statement'!K8&gt;=0,'Income Statement'!K8&lt;=1),"OK","CHECK")</f>
        <v>OK</v>
      </c>
      <c r="L6" s="48" t="str">
        <f aca="false">IF(AND('Income Statement'!L8&gt;=0,'Income Statement'!L8&lt;=1),"OK","CHECK")</f>
        <v>OK</v>
      </c>
      <c r="M6" s="48" t="str">
        <f aca="false">IF(AND('Income Statement'!M8&gt;=0,'Income Statement'!M8&lt;=1),"OK","CHECK")</f>
        <v>OK</v>
      </c>
    </row>
    <row r="8" customFormat="false" ht="15" hidden="false" customHeight="false" outlineLevel="0" collapsed="false">
      <c r="A8" s="4" t="s">
        <v>173</v>
      </c>
      <c r="B8" s="49" t="str">
        <f aca="false">IF(Assumptions!B28&gt;Assumptions!B29,"OK","CHECK — TV FORMULA INVALID")</f>
        <v>OK</v>
      </c>
    </row>
    <row r="10" customFormat="false" ht="15" hidden="false" customHeight="false" outlineLevel="0" collapsed="false">
      <c r="A10" s="4" t="s">
        <v>174</v>
      </c>
      <c r="B10" s="48" t="str">
        <f aca="false">IF(ABS(('Income Statement'!B13-'Income Statement'!B15)-'Income Statement'!B16)&lt;1,"OK","CHECK")</f>
        <v>OK</v>
      </c>
      <c r="C10" s="48" t="str">
        <f aca="false">IF(ABS(('Income Statement'!C13-'Income Statement'!C15)-'Income Statement'!C16)&lt;1,"OK","CHECK")</f>
        <v>OK</v>
      </c>
      <c r="D10" s="48" t="str">
        <f aca="false">IF(ABS(('Income Statement'!D13-'Income Statement'!D15)-'Income Statement'!D16)&lt;1,"OK","CHECK")</f>
        <v>OK</v>
      </c>
      <c r="E10" s="48" t="str">
        <f aca="false">IF(ABS(('Income Statement'!E13-'Income Statement'!E15)-'Income Statement'!E16)&lt;1,"OK","CHECK")</f>
        <v>OK</v>
      </c>
      <c r="F10" s="48" t="str">
        <f aca="false">IF(ABS(('Income Statement'!F13-'Income Statement'!F15)-'Income Statement'!F16)&lt;1,"OK","CHECK")</f>
        <v>OK</v>
      </c>
      <c r="G10" s="48" t="str">
        <f aca="false">IF(ABS(('Income Statement'!G13-'Income Statement'!G15)-'Income Statement'!G16)&lt;1,"OK","CHECK")</f>
        <v>OK</v>
      </c>
      <c r="H10" s="48" t="str">
        <f aca="false">IF(ABS(('Income Statement'!H13-'Income Statement'!H15)-'Income Statement'!H16)&lt;1,"OK","CHECK")</f>
        <v>OK</v>
      </c>
      <c r="I10" s="48" t="str">
        <f aca="false">IF(ABS(('Income Statement'!I13-'Income Statement'!I15)-'Income Statement'!I16)&lt;1,"OK","CHECK")</f>
        <v>OK</v>
      </c>
      <c r="J10" s="48" t="str">
        <f aca="false">IF(ABS(('Income Statement'!J13-'Income Statement'!J15)-'Income Statement'!J16)&lt;1,"OK","CHECK")</f>
        <v>OK</v>
      </c>
      <c r="K10" s="48" t="str">
        <f aca="false">IF(ABS(('Income Statement'!K13-'Income Statement'!K15)-'Income Statement'!K16)&lt;1,"OK","CHECK")</f>
        <v>OK</v>
      </c>
      <c r="L10" s="48" t="str">
        <f aca="false">IF(ABS(('Income Statement'!L13-'Income Statement'!L15)-'Income Statement'!L16)&lt;1,"OK","CHECK")</f>
        <v>OK</v>
      </c>
      <c r="M10" s="48" t="str">
        <f aca="false">IF(ABS(('Income Statement'!M13-'Income Statement'!M15)-'Income Statement'!M16)&lt;1,"OK","CHECK")</f>
        <v>OK</v>
      </c>
    </row>
    <row r="12" customFormat="false" ht="15" hidden="false" customHeight="true" outlineLevel="0" collapsed="false">
      <c r="A12" s="11" t="s">
        <v>175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</sheetData>
  <mergeCells count="2">
    <mergeCell ref="A1:M1"/>
    <mergeCell ref="A12:M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2026-07-13T06:24:12Z</dcterms:created>
  <dc:creator>openpyxl</dc:creator>
  <dc:description/>
  <dc:language>en-US</dc:language>
  <cp:lastModifiedBy/>
  <dcterms:modified xsi:type="dcterms:W3CDTF">2026-07-13T06:24:12Z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